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L3(RHEL9)/"/>
    </mc:Choice>
  </mc:AlternateContent>
  <xr:revisionPtr revIDLastSave="5781" documentId="8_{52E44217-5BD6-45C4-ABB6-A560E7CE5177}" xr6:coauthVersionLast="47" xr6:coauthVersionMax="47" xr10:uidLastSave="{E0C283F6-BEE5-4763-97B7-AE4E7C19FE90}"/>
  <bookViews>
    <workbookView xWindow="-120" yWindow="-120" windowWidth="29040" windowHeight="15720" xr2:uid="{EB9F21A9-8C69-4F12-A592-BDEB5C2B71D0}"/>
  </bookViews>
  <sheets>
    <sheet name="通信要件一覧" sheetId="2" r:id="rId1"/>
    <sheet name="DHCP" sheetId="14" r:id="rId2"/>
    <sheet name="NTP" sheetId="15" r:id="rId3"/>
    <sheet name="rsyslog" sheetId="16" r:id="rId4"/>
    <sheet name="DNS" sheetId="17" r:id="rId5"/>
    <sheet name="LB" sheetId="18" r:id="rId6"/>
    <sheet name="AP" sheetId="19" r:id="rId7"/>
    <sheet name="DB" sheetId="20" r:id="rId8"/>
    <sheet name="ICMP" sheetId="10" r:id="rId9"/>
  </sheets>
  <definedNames>
    <definedName name="_xlnm._FilterDatabase" localSheetId="0" hidden="1">通信要件一覧!$A$1:$X$73</definedName>
    <definedName name="_xlnm.Print_Area" localSheetId="6">AP!$A$1:$N$44</definedName>
    <definedName name="_xlnm.Print_Area" localSheetId="7">DB!$A$1:$N$62</definedName>
    <definedName name="_xlnm.Print_Area" localSheetId="1">DHCP!$A$1:$L$76</definedName>
    <definedName name="_xlnm.Print_Area" localSheetId="4">DNS!$A$1:$AI$258</definedName>
    <definedName name="_xlnm.Print_Area" localSheetId="8">ICMP!$A$1:$O$543</definedName>
    <definedName name="_xlnm.Print_Area" localSheetId="5">LB!$A$1:$N$111</definedName>
    <definedName name="_xlnm.Print_Area" localSheetId="2">NTP!$A$1:$K$105</definedName>
    <definedName name="_xlnm.Print_Area" localSheetId="3">rsyslog!$A$1:$L$198</definedName>
    <definedName name="_xlnm.Print_Area" localSheetId="0">通信要件一覧!$A$1:$X$100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0" l="1"/>
  <c r="M7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1" i="10"/>
  <c r="L20" i="10"/>
  <c r="L23" i="10"/>
  <c r="L22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K6" i="10"/>
  <c r="K11" i="10"/>
  <c r="K10" i="10"/>
  <c r="K9" i="10"/>
  <c r="K8" i="10"/>
  <c r="K7" i="10"/>
  <c r="K12" i="10"/>
  <c r="K13" i="10"/>
  <c r="K14" i="10"/>
  <c r="K15" i="10"/>
  <c r="K16" i="10"/>
  <c r="K17" i="10"/>
  <c r="K18" i="10"/>
  <c r="K19" i="10"/>
  <c r="K21" i="10"/>
  <c r="K20" i="10"/>
  <c r="K23" i="10"/>
  <c r="K22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J6" i="18"/>
  <c r="J6" i="10"/>
  <c r="B6" i="10" s="1"/>
  <c r="I6" i="10" a="1"/>
  <c r="I6" i="10" s="1"/>
  <c r="I7" i="10" a="1"/>
  <c r="I7" i="10" s="1"/>
  <c r="I8" i="10" a="1"/>
  <c r="I8" i="10" s="1"/>
  <c r="I9" i="10" a="1"/>
  <c r="I9" i="10" s="1"/>
  <c r="I10" i="10" a="1"/>
  <c r="I10" i="10" s="1"/>
  <c r="I11" i="10" a="1"/>
  <c r="I11" i="10" s="1"/>
  <c r="I12" i="10" a="1"/>
  <c r="I12" i="10" s="1"/>
  <c r="I13" i="10" a="1"/>
  <c r="I13" i="10" s="1"/>
  <c r="I14" i="10" a="1"/>
  <c r="I14" i="10" s="1"/>
  <c r="I15" i="10" a="1"/>
  <c r="I15" i="10" s="1"/>
  <c r="I16" i="10" a="1"/>
  <c r="I16" i="10" s="1"/>
  <c r="I17" i="10" a="1"/>
  <c r="I17" i="10" s="1"/>
  <c r="I18" i="10" a="1"/>
  <c r="I18" i="10" s="1"/>
  <c r="I19" i="10" a="1"/>
  <c r="I19" i="10" s="1"/>
  <c r="I21" i="10" a="1"/>
  <c r="I21" i="10" s="1"/>
  <c r="I20" i="10" a="1"/>
  <c r="I20" i="10" s="1"/>
  <c r="I23" i="10" a="1"/>
  <c r="I23" i="10" s="1"/>
  <c r="I22" i="10" a="1"/>
  <c r="I22" i="10" s="1"/>
  <c r="I24" i="10" a="1"/>
  <c r="I24" i="10" s="1"/>
  <c r="I25" i="10" a="1"/>
  <c r="I25" i="10" s="1"/>
  <c r="I26" i="10" a="1"/>
  <c r="I26" i="10" s="1"/>
  <c r="I27" i="10" a="1"/>
  <c r="I27" i="10" s="1"/>
  <c r="I28" i="10" a="1"/>
  <c r="I28" i="10" s="1"/>
  <c r="I29" i="10" a="1"/>
  <c r="I29" i="10" s="1"/>
  <c r="I30" i="10" a="1"/>
  <c r="I30" i="10" s="1"/>
  <c r="I31" i="10" a="1"/>
  <c r="I31" i="10" s="1"/>
  <c r="I32" i="10" a="1"/>
  <c r="I32" i="10" s="1"/>
  <c r="I33" i="10" a="1"/>
  <c r="I33" i="10" s="1"/>
  <c r="I34" i="10" a="1"/>
  <c r="I34" i="10" s="1"/>
  <c r="I35" i="10" a="1"/>
  <c r="I35" i="10" s="1"/>
  <c r="I36" i="10" a="1"/>
  <c r="I36" i="10" s="1"/>
  <c r="I37" i="10" a="1"/>
  <c r="I37" i="10" s="1"/>
  <c r="I38" i="10" a="1"/>
  <c r="I38" i="10" s="1"/>
  <c r="I39" i="10" a="1"/>
  <c r="I39" i="10" s="1"/>
  <c r="I40" i="10" a="1"/>
  <c r="I40" i="10" s="1"/>
  <c r="I41" i="10" a="1"/>
  <c r="I41" i="10" s="1"/>
  <c r="I42" i="10" a="1"/>
  <c r="I42" i="10" s="1"/>
  <c r="I43" i="10" a="1"/>
  <c r="I43" i="10" s="1"/>
  <c r="I44" i="10" a="1"/>
  <c r="I44" i="10" s="1"/>
  <c r="I45" i="10" a="1"/>
  <c r="I45" i="10" s="1"/>
  <c r="I46" i="10" a="1"/>
  <c r="I46" i="10" s="1"/>
  <c r="I47" i="10" a="1"/>
  <c r="I47" i="10" s="1"/>
  <c r="I48" i="10" a="1"/>
  <c r="I48" i="10" s="1"/>
  <c r="I49" i="10" a="1"/>
  <c r="I49" i="10" s="1"/>
  <c r="I50" i="10" a="1"/>
  <c r="I50" i="10" s="1"/>
  <c r="I51" i="10" a="1"/>
  <c r="I51" i="10" s="1"/>
  <c r="I52" i="10" a="1"/>
  <c r="I52" i="10" s="1"/>
  <c r="I53" i="10" a="1"/>
  <c r="I53" i="10" s="1"/>
  <c r="I54" i="10" a="1"/>
  <c r="I54" i="10" s="1"/>
  <c r="I55" i="10" a="1"/>
  <c r="I55" i="10" s="1"/>
  <c r="I56" i="10" a="1"/>
  <c r="I56" i="10" s="1"/>
  <c r="I57" i="10" a="1"/>
  <c r="I57" i="10" s="1"/>
  <c r="I58" i="10" a="1"/>
  <c r="I58" i="10" s="1"/>
  <c r="I59" i="10" a="1"/>
  <c r="I59" i="10" s="1"/>
  <c r="G6" i="10" a="1"/>
  <c r="G6" i="10" s="1"/>
  <c r="H7" i="10" a="1"/>
  <c r="H7" i="10" s="1"/>
  <c r="H8" i="10" a="1"/>
  <c r="H8" i="10" s="1"/>
  <c r="H9" i="10" a="1"/>
  <c r="H9" i="10" s="1"/>
  <c r="H10" i="10" a="1"/>
  <c r="H10" i="10" s="1"/>
  <c r="H11" i="10" a="1"/>
  <c r="H11" i="10" s="1"/>
  <c r="H12" i="10" a="1"/>
  <c r="H12" i="10" s="1"/>
  <c r="H13" i="10" a="1"/>
  <c r="H13" i="10" s="1"/>
  <c r="H14" i="10" a="1"/>
  <c r="H14" i="10" s="1"/>
  <c r="H15" i="10" a="1"/>
  <c r="H15" i="10" s="1"/>
  <c r="H16" i="10" a="1"/>
  <c r="H16" i="10" s="1"/>
  <c r="H17" i="10" a="1"/>
  <c r="H17" i="10" s="1"/>
  <c r="H18" i="10" a="1"/>
  <c r="H18" i="10" s="1"/>
  <c r="H19" i="10" a="1"/>
  <c r="H19" i="10" s="1"/>
  <c r="H21" i="10" a="1"/>
  <c r="H21" i="10" s="1"/>
  <c r="H20" i="10" a="1"/>
  <c r="H20" i="10" s="1"/>
  <c r="H23" i="10" a="1"/>
  <c r="H23" i="10" s="1"/>
  <c r="H22" i="10" a="1"/>
  <c r="H22" i="10" s="1"/>
  <c r="H24" i="10" a="1"/>
  <c r="H24" i="10" s="1"/>
  <c r="H25" i="10" a="1"/>
  <c r="H25" i="10" s="1"/>
  <c r="H26" i="10" a="1"/>
  <c r="H26" i="10" s="1"/>
  <c r="H27" i="10" a="1"/>
  <c r="H27" i="10" s="1"/>
  <c r="H28" i="10" a="1"/>
  <c r="H28" i="10" s="1"/>
  <c r="H29" i="10" a="1"/>
  <c r="H29" i="10" s="1"/>
  <c r="H30" i="10" a="1"/>
  <c r="H30" i="10" s="1"/>
  <c r="H31" i="10" a="1"/>
  <c r="H31" i="10" s="1"/>
  <c r="H32" i="10" a="1"/>
  <c r="H32" i="10" s="1"/>
  <c r="H33" i="10" a="1"/>
  <c r="H33" i="10" s="1"/>
  <c r="H34" i="10" a="1"/>
  <c r="H34" i="10" s="1"/>
  <c r="H35" i="10" a="1"/>
  <c r="H35" i="10" s="1"/>
  <c r="H36" i="10" a="1"/>
  <c r="H36" i="10" s="1"/>
  <c r="H37" i="10" a="1"/>
  <c r="H37" i="10" s="1"/>
  <c r="H38" i="10" a="1"/>
  <c r="H38" i="10" s="1"/>
  <c r="H39" i="10" a="1"/>
  <c r="H39" i="10" s="1"/>
  <c r="H40" i="10" a="1"/>
  <c r="H40" i="10" s="1"/>
  <c r="H41" i="10" a="1"/>
  <c r="H41" i="10" s="1"/>
  <c r="H42" i="10" a="1"/>
  <c r="H42" i="10" s="1"/>
  <c r="H43" i="10" a="1"/>
  <c r="H43" i="10" s="1"/>
  <c r="H44" i="10" a="1"/>
  <c r="H44" i="10" s="1"/>
  <c r="H45" i="10" a="1"/>
  <c r="H45" i="10" s="1"/>
  <c r="H46" i="10" a="1"/>
  <c r="H46" i="10" s="1"/>
  <c r="H47" i="10" a="1"/>
  <c r="H47" i="10" s="1"/>
  <c r="H48" i="10" a="1"/>
  <c r="H48" i="10" s="1"/>
  <c r="H49" i="10" a="1"/>
  <c r="H49" i="10" s="1"/>
  <c r="H50" i="10" a="1"/>
  <c r="H50" i="10" s="1"/>
  <c r="H51" i="10" a="1"/>
  <c r="H51" i="10" s="1"/>
  <c r="H52" i="10" a="1"/>
  <c r="H52" i="10" s="1"/>
  <c r="H53" i="10" a="1"/>
  <c r="H53" i="10" s="1"/>
  <c r="H54" i="10" a="1"/>
  <c r="H54" i="10" s="1"/>
  <c r="H55" i="10" a="1"/>
  <c r="H55" i="10" s="1"/>
  <c r="H56" i="10" a="1"/>
  <c r="H56" i="10" s="1"/>
  <c r="H57" i="10" a="1"/>
  <c r="H57" i="10" s="1"/>
  <c r="H58" i="10" a="1"/>
  <c r="H58" i="10" s="1"/>
  <c r="H59" i="10" a="1"/>
  <c r="H59" i="10" s="1"/>
  <c r="H6" i="10" a="1"/>
  <c r="H6" i="10" s="1"/>
  <c r="H6" i="18" a="1"/>
  <c r="H6" i="18"/>
  <c r="G7" i="10" a="1"/>
  <c r="G7" i="10" s="1"/>
  <c r="G8" i="10" a="1"/>
  <c r="G8" i="10" s="1"/>
  <c r="G9" i="10" a="1"/>
  <c r="G9" i="10" s="1"/>
  <c r="G10" i="10" a="1"/>
  <c r="G10" i="10" s="1"/>
  <c r="G11" i="10" a="1"/>
  <c r="G11" i="10" s="1"/>
  <c r="G12" i="10" a="1"/>
  <c r="G12" i="10" s="1"/>
  <c r="G13" i="10" a="1"/>
  <c r="G13" i="10" s="1"/>
  <c r="G14" i="10" a="1"/>
  <c r="G14" i="10" s="1"/>
  <c r="G15" i="10" a="1"/>
  <c r="G15" i="10" s="1"/>
  <c r="G16" i="10" a="1"/>
  <c r="G16" i="10" s="1"/>
  <c r="G17" i="10" a="1"/>
  <c r="G17" i="10" s="1"/>
  <c r="G18" i="10" a="1"/>
  <c r="G18" i="10" s="1"/>
  <c r="G19" i="10" a="1"/>
  <c r="G19" i="10" s="1"/>
  <c r="G21" i="10" a="1"/>
  <c r="G21" i="10" s="1"/>
  <c r="G20" i="10" a="1"/>
  <c r="G20" i="10" s="1"/>
  <c r="G23" i="10" a="1"/>
  <c r="G23" i="10" s="1"/>
  <c r="G22" i="10" a="1"/>
  <c r="G22" i="10" s="1"/>
  <c r="G24" i="10" a="1"/>
  <c r="G24" i="10" s="1"/>
  <c r="G25" i="10" a="1"/>
  <c r="G25" i="10" s="1"/>
  <c r="G26" i="10" a="1"/>
  <c r="G26" i="10" s="1"/>
  <c r="G27" i="10" a="1"/>
  <c r="G27" i="10" s="1"/>
  <c r="G28" i="10" a="1"/>
  <c r="G28" i="10" s="1"/>
  <c r="G29" i="10" a="1"/>
  <c r="G29" i="10" s="1"/>
  <c r="G30" i="10" a="1"/>
  <c r="G30" i="10" s="1"/>
  <c r="G31" i="10" a="1"/>
  <c r="G31" i="10" s="1"/>
  <c r="G32" i="10" a="1"/>
  <c r="G32" i="10" s="1"/>
  <c r="G33" i="10" a="1"/>
  <c r="G33" i="10" s="1"/>
  <c r="G34" i="10" a="1"/>
  <c r="G34" i="10" s="1"/>
  <c r="G35" i="10" a="1"/>
  <c r="G35" i="10" s="1"/>
  <c r="G36" i="10" a="1"/>
  <c r="G36" i="10" s="1"/>
  <c r="G37" i="10" a="1"/>
  <c r="G37" i="10" s="1"/>
  <c r="G38" i="10" a="1"/>
  <c r="G38" i="10" s="1"/>
  <c r="G39" i="10" a="1"/>
  <c r="G39" i="10" s="1"/>
  <c r="G40" i="10" a="1"/>
  <c r="G40" i="10" s="1"/>
  <c r="G41" i="10" a="1"/>
  <c r="G41" i="10" s="1"/>
  <c r="G42" i="10" a="1"/>
  <c r="G42" i="10" s="1"/>
  <c r="G43" i="10" a="1"/>
  <c r="G43" i="10" s="1"/>
  <c r="G44" i="10" a="1"/>
  <c r="G44" i="10" s="1"/>
  <c r="G45" i="10" a="1"/>
  <c r="G45" i="10" s="1"/>
  <c r="G46" i="10" a="1"/>
  <c r="G46" i="10" s="1"/>
  <c r="G47" i="10" a="1"/>
  <c r="G47" i="10" s="1"/>
  <c r="G48" i="10" a="1"/>
  <c r="G48" i="10" s="1"/>
  <c r="G49" i="10" a="1"/>
  <c r="G49" i="10" s="1"/>
  <c r="G50" i="10" a="1"/>
  <c r="G50" i="10" s="1"/>
  <c r="G51" i="10" a="1"/>
  <c r="G51" i="10" s="1"/>
  <c r="G52" i="10" a="1"/>
  <c r="G52" i="10" s="1"/>
  <c r="G53" i="10" a="1"/>
  <c r="G53" i="10" s="1"/>
  <c r="G54" i="10" a="1"/>
  <c r="G54" i="10" s="1"/>
  <c r="G55" i="10" a="1"/>
  <c r="G55" i="10" s="1"/>
  <c r="G56" i="10" a="1"/>
  <c r="G56" i="10" s="1"/>
  <c r="G57" i="10" a="1"/>
  <c r="G57" i="10" s="1"/>
  <c r="G58" i="10" a="1"/>
  <c r="G58" i="10" s="1"/>
  <c r="G59" i="10" a="1"/>
  <c r="G59" i="10" s="1"/>
  <c r="F6" i="10" a="1"/>
  <c r="F6" i="10" s="1"/>
  <c r="F7" i="10" a="1"/>
  <c r="F7" i="10" s="1"/>
  <c r="F8" i="10" a="1"/>
  <c r="F8" i="10" s="1"/>
  <c r="F9" i="10" a="1"/>
  <c r="F9" i="10" s="1"/>
  <c r="F10" i="10" a="1"/>
  <c r="F10" i="10" s="1"/>
  <c r="F11" i="10" a="1"/>
  <c r="F11" i="10" s="1"/>
  <c r="F12" i="10" a="1"/>
  <c r="F12" i="10" s="1"/>
  <c r="F13" i="10" a="1"/>
  <c r="F13" i="10" s="1"/>
  <c r="F14" i="10" a="1"/>
  <c r="F14" i="10" s="1"/>
  <c r="F15" i="10" a="1"/>
  <c r="F15" i="10" s="1"/>
  <c r="F16" i="10" a="1"/>
  <c r="F16" i="10" s="1"/>
  <c r="F17" i="10" a="1"/>
  <c r="F17" i="10" s="1"/>
  <c r="F18" i="10" a="1"/>
  <c r="F18" i="10" s="1"/>
  <c r="F19" i="10" a="1"/>
  <c r="F19" i="10" s="1"/>
  <c r="F21" i="10" a="1"/>
  <c r="F21" i="10" s="1"/>
  <c r="F20" i="10" a="1"/>
  <c r="F20" i="10" s="1"/>
  <c r="F23" i="10" a="1"/>
  <c r="F23" i="10" s="1"/>
  <c r="F22" i="10" a="1"/>
  <c r="F22" i="10" s="1"/>
  <c r="F24" i="10" a="1"/>
  <c r="F24" i="10" s="1"/>
  <c r="F25" i="10" a="1"/>
  <c r="F25" i="10" s="1"/>
  <c r="F26" i="10" a="1"/>
  <c r="F26" i="10" s="1"/>
  <c r="F27" i="10" a="1"/>
  <c r="F27" i="10" s="1"/>
  <c r="F28" i="10" a="1"/>
  <c r="F28" i="10" s="1"/>
  <c r="F29" i="10" a="1"/>
  <c r="F29" i="10" s="1"/>
  <c r="F30" i="10" a="1"/>
  <c r="F30" i="10" s="1"/>
  <c r="F31" i="10" a="1"/>
  <c r="F31" i="10" s="1"/>
  <c r="F32" i="10" a="1"/>
  <c r="F32" i="10" s="1"/>
  <c r="F33" i="10" a="1"/>
  <c r="F33" i="10" s="1"/>
  <c r="F34" i="10" a="1"/>
  <c r="F34" i="10" s="1"/>
  <c r="F35" i="10" a="1"/>
  <c r="F35" i="10" s="1"/>
  <c r="F36" i="10" a="1"/>
  <c r="F36" i="10" s="1"/>
  <c r="F37" i="10" a="1"/>
  <c r="F37" i="10" s="1"/>
  <c r="F38" i="10" a="1"/>
  <c r="F38" i="10" s="1"/>
  <c r="F39" i="10" a="1"/>
  <c r="F39" i="10" s="1"/>
  <c r="F40" i="10" a="1"/>
  <c r="F40" i="10" s="1"/>
  <c r="F41" i="10" a="1"/>
  <c r="F41" i="10" s="1"/>
  <c r="F42" i="10" a="1"/>
  <c r="F42" i="10" s="1"/>
  <c r="F43" i="10" a="1"/>
  <c r="F43" i="10" s="1"/>
  <c r="F44" i="10" a="1"/>
  <c r="F44" i="10" s="1"/>
  <c r="F45" i="10" a="1"/>
  <c r="F45" i="10" s="1"/>
  <c r="F46" i="10" a="1"/>
  <c r="F46" i="10" s="1"/>
  <c r="F47" i="10" a="1"/>
  <c r="F47" i="10" s="1"/>
  <c r="F48" i="10" a="1"/>
  <c r="F48" i="10" s="1"/>
  <c r="F49" i="10" a="1"/>
  <c r="F49" i="10" s="1"/>
  <c r="F50" i="10" a="1"/>
  <c r="F50" i="10" s="1"/>
  <c r="F51" i="10" a="1"/>
  <c r="F51" i="10" s="1"/>
  <c r="F52" i="10" a="1"/>
  <c r="F52" i="10" s="1"/>
  <c r="F53" i="10" a="1"/>
  <c r="F53" i="10" s="1"/>
  <c r="F54" i="10" a="1"/>
  <c r="F54" i="10" s="1"/>
  <c r="F55" i="10" a="1"/>
  <c r="F55" i="10" s="1"/>
  <c r="F56" i="10" a="1"/>
  <c r="F56" i="10" s="1"/>
  <c r="F57" i="10" a="1"/>
  <c r="F57" i="10" s="1"/>
  <c r="F58" i="10" a="1"/>
  <c r="F58" i="10" s="1"/>
  <c r="F59" i="10" a="1"/>
  <c r="F59" i="10" s="1"/>
  <c r="E7" i="10" a="1"/>
  <c r="E7" i="10" s="1"/>
  <c r="E8" i="10" a="1"/>
  <c r="E8" i="10" s="1"/>
  <c r="E9" i="10" a="1"/>
  <c r="E9" i="10" s="1"/>
  <c r="E10" i="10" a="1"/>
  <c r="E10" i="10" s="1"/>
  <c r="E11" i="10" a="1"/>
  <c r="E11" i="10" s="1"/>
  <c r="E12" i="10" a="1"/>
  <c r="E12" i="10" s="1"/>
  <c r="E13" i="10" a="1"/>
  <c r="E13" i="10" s="1"/>
  <c r="E14" i="10" a="1"/>
  <c r="E14" i="10" s="1"/>
  <c r="E15" i="10" a="1"/>
  <c r="E15" i="10" s="1"/>
  <c r="E16" i="10" a="1"/>
  <c r="E16" i="10" s="1"/>
  <c r="E17" i="10" a="1"/>
  <c r="E17" i="10" s="1"/>
  <c r="E18" i="10" a="1"/>
  <c r="E18" i="10" s="1"/>
  <c r="E19" i="10" a="1"/>
  <c r="E19" i="10" s="1"/>
  <c r="E21" i="10" a="1"/>
  <c r="E21" i="10" s="1"/>
  <c r="E20" i="10" a="1"/>
  <c r="E20" i="10" s="1"/>
  <c r="E23" i="10" a="1"/>
  <c r="E23" i="10" s="1"/>
  <c r="E22" i="10" a="1"/>
  <c r="E22" i="10" s="1"/>
  <c r="E24" i="10" a="1"/>
  <c r="E24" i="10" s="1"/>
  <c r="E25" i="10" a="1"/>
  <c r="E25" i="10" s="1"/>
  <c r="E26" i="10" a="1"/>
  <c r="E26" i="10" s="1"/>
  <c r="E27" i="10" a="1"/>
  <c r="E27" i="10" s="1"/>
  <c r="E28" i="10" a="1"/>
  <c r="E28" i="10" s="1"/>
  <c r="E29" i="10" a="1"/>
  <c r="E29" i="10" s="1"/>
  <c r="E30" i="10" a="1"/>
  <c r="E30" i="10" s="1"/>
  <c r="E31" i="10" a="1"/>
  <c r="E31" i="10" s="1"/>
  <c r="E32" i="10" a="1"/>
  <c r="E32" i="10" s="1"/>
  <c r="E33" i="10" a="1"/>
  <c r="E33" i="10" s="1"/>
  <c r="E34" i="10" a="1"/>
  <c r="E34" i="10" s="1"/>
  <c r="E35" i="10" a="1"/>
  <c r="E35" i="10" s="1"/>
  <c r="E36" i="10" a="1"/>
  <c r="E36" i="10" s="1"/>
  <c r="E37" i="10" a="1"/>
  <c r="E37" i="10" s="1"/>
  <c r="E38" i="10" a="1"/>
  <c r="E38" i="10" s="1"/>
  <c r="E39" i="10" a="1"/>
  <c r="E39" i="10" s="1"/>
  <c r="E40" i="10" a="1"/>
  <c r="E40" i="10" s="1"/>
  <c r="E41" i="10" a="1"/>
  <c r="E41" i="10" s="1"/>
  <c r="E42" i="10" a="1"/>
  <c r="E42" i="10" s="1"/>
  <c r="E43" i="10" a="1"/>
  <c r="E43" i="10" s="1"/>
  <c r="E44" i="10" a="1"/>
  <c r="E44" i="10" s="1"/>
  <c r="E45" i="10" a="1"/>
  <c r="E45" i="10" s="1"/>
  <c r="E46" i="10" a="1"/>
  <c r="E46" i="10" s="1"/>
  <c r="E47" i="10" a="1"/>
  <c r="E47" i="10" s="1"/>
  <c r="E48" i="10" a="1"/>
  <c r="E48" i="10" s="1"/>
  <c r="E49" i="10" a="1"/>
  <c r="E49" i="10" s="1"/>
  <c r="E50" i="10" a="1"/>
  <c r="E50" i="10" s="1"/>
  <c r="E51" i="10" a="1"/>
  <c r="E51" i="10" s="1"/>
  <c r="E52" i="10" a="1"/>
  <c r="E52" i="10" s="1"/>
  <c r="E53" i="10" a="1"/>
  <c r="E53" i="10" s="1"/>
  <c r="E54" i="10" a="1"/>
  <c r="E54" i="10" s="1"/>
  <c r="E55" i="10" a="1"/>
  <c r="E55" i="10" s="1"/>
  <c r="E56" i="10" a="1"/>
  <c r="E56" i="10" s="1"/>
  <c r="E57" i="10" a="1"/>
  <c r="E57" i="10" s="1"/>
  <c r="E58" i="10" a="1"/>
  <c r="E58" i="10" s="1"/>
  <c r="E59" i="10" a="1"/>
  <c r="E59" i="10" s="1"/>
  <c r="E6" i="10" a="1"/>
  <c r="E6" i="10" s="1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4" i="10" a="1"/>
  <c r="D14" i="10" s="1"/>
  <c r="D15" i="10" a="1"/>
  <c r="D15" i="10" s="1"/>
  <c r="D16" i="10" a="1"/>
  <c r="D16" i="10" s="1"/>
  <c r="D17" i="10" a="1"/>
  <c r="D17" i="10" s="1"/>
  <c r="D18" i="10" a="1"/>
  <c r="D18" i="10" s="1"/>
  <c r="D19" i="10" a="1"/>
  <c r="D19" i="10" s="1"/>
  <c r="D21" i="10" a="1"/>
  <c r="D21" i="10" s="1"/>
  <c r="D20" i="10" a="1"/>
  <c r="D20" i="10" s="1"/>
  <c r="D23" i="10" a="1"/>
  <c r="D23" i="10" s="1"/>
  <c r="D22" i="10" a="1"/>
  <c r="D22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29" i="10" a="1"/>
  <c r="D29" i="10" s="1"/>
  <c r="D30" i="10" a="1"/>
  <c r="D30" i="10" s="1"/>
  <c r="D31" i="10" a="1"/>
  <c r="D31" i="10" s="1"/>
  <c r="D32" i="10" a="1"/>
  <c r="D32" i="10" s="1"/>
  <c r="D33" i="10" a="1"/>
  <c r="D33" i="10" s="1"/>
  <c r="D34" i="10" a="1"/>
  <c r="D34" i="10" s="1"/>
  <c r="D35" i="10" a="1"/>
  <c r="D35" i="10" s="1"/>
  <c r="D36" i="10" a="1"/>
  <c r="D36" i="10" s="1"/>
  <c r="D37" i="10" a="1"/>
  <c r="D37" i="10" s="1"/>
  <c r="D38" i="10" a="1"/>
  <c r="D38" i="10" s="1"/>
  <c r="D39" i="10" a="1"/>
  <c r="D39" i="10" s="1"/>
  <c r="D40" i="10" a="1"/>
  <c r="D40" i="10" s="1"/>
  <c r="D41" i="10" a="1"/>
  <c r="D41" i="10" s="1"/>
  <c r="D42" i="10" a="1"/>
  <c r="D42" i="10" s="1"/>
  <c r="D43" i="10" a="1"/>
  <c r="D43" i="10" s="1"/>
  <c r="D44" i="10" a="1"/>
  <c r="D44" i="10" s="1"/>
  <c r="D45" i="10" a="1"/>
  <c r="D45" i="10" s="1"/>
  <c r="D46" i="10" a="1"/>
  <c r="D46" i="10" s="1"/>
  <c r="D47" i="10" a="1"/>
  <c r="D47" i="10" s="1"/>
  <c r="D48" i="10" a="1"/>
  <c r="D48" i="10" s="1"/>
  <c r="D49" i="10" a="1"/>
  <c r="D49" i="10" s="1"/>
  <c r="D50" i="10" a="1"/>
  <c r="D50" i="10" s="1"/>
  <c r="D51" i="10" a="1"/>
  <c r="D51" i="10" s="1"/>
  <c r="D52" i="10" a="1"/>
  <c r="D52" i="10" s="1"/>
  <c r="D53" i="10" a="1"/>
  <c r="D53" i="10" s="1"/>
  <c r="D54" i="10" a="1"/>
  <c r="D54" i="10" s="1"/>
  <c r="D55" i="10" a="1"/>
  <c r="D55" i="10" s="1"/>
  <c r="D56" i="10" a="1"/>
  <c r="D56" i="10" s="1"/>
  <c r="D57" i="10" a="1"/>
  <c r="D57" i="10" s="1"/>
  <c r="D58" i="10" a="1"/>
  <c r="D58" i="10" s="1"/>
  <c r="D59" i="10" a="1"/>
  <c r="D59" i="10" s="1"/>
  <c r="E6" i="17" a="1"/>
  <c r="E6" i="17"/>
  <c r="A6" i="18"/>
  <c r="B6" i="14"/>
  <c r="D16" i="20" a="1"/>
  <c r="D16" i="20" s="1"/>
  <c r="E16" i="20" a="1"/>
  <c r="E16" i="20" s="1"/>
  <c r="F16" i="20" a="1"/>
  <c r="F16" i="20" s="1"/>
  <c r="B16" i="20" s="1"/>
  <c r="A16" i="20" s="1"/>
  <c r="G16" i="20" a="1"/>
  <c r="G16" i="20" s="1"/>
  <c r="H16" i="20" a="1"/>
  <c r="H16" i="20" s="1"/>
  <c r="I16" i="20"/>
  <c r="J16" i="20"/>
  <c r="K16" i="20"/>
  <c r="L16" i="20"/>
  <c r="M16" i="20"/>
  <c r="N16" i="20"/>
  <c r="D17" i="20" a="1"/>
  <c r="D17" i="20" s="1"/>
  <c r="E17" i="20" a="1"/>
  <c r="E17" i="20" s="1"/>
  <c r="F17" i="20" a="1"/>
  <c r="F17" i="20" s="1"/>
  <c r="B17" i="20" s="1"/>
  <c r="A17" i="20" s="1"/>
  <c r="G17" i="20" a="1"/>
  <c r="G17" i="20" s="1"/>
  <c r="H17" i="20" a="1"/>
  <c r="H17" i="20" s="1"/>
  <c r="I17" i="20"/>
  <c r="J17" i="20"/>
  <c r="K17" i="20"/>
  <c r="L17" i="20"/>
  <c r="M17" i="20"/>
  <c r="N17" i="20"/>
  <c r="D18" i="20" a="1"/>
  <c r="D18" i="20"/>
  <c r="E18" i="20" a="1"/>
  <c r="E18" i="20" s="1"/>
  <c r="F18" i="20" a="1"/>
  <c r="F18" i="20" s="1"/>
  <c r="B18" i="20" s="1"/>
  <c r="A18" i="20" s="1"/>
  <c r="G18" i="20" a="1"/>
  <c r="G18" i="20" s="1"/>
  <c r="H18" i="20" a="1"/>
  <c r="H18" i="20" s="1"/>
  <c r="I18" i="20"/>
  <c r="J18" i="20"/>
  <c r="K18" i="20"/>
  <c r="L18" i="20"/>
  <c r="M18" i="20"/>
  <c r="N18" i="20"/>
  <c r="D19" i="20" a="1"/>
  <c r="D19" i="20" s="1"/>
  <c r="E19" i="20" a="1"/>
  <c r="E19" i="20" s="1"/>
  <c r="F19" i="20" a="1"/>
  <c r="F19" i="20" s="1"/>
  <c r="B19" i="20" s="1"/>
  <c r="A19" i="20" s="1"/>
  <c r="G19" i="20" a="1"/>
  <c r="G19" i="20" s="1"/>
  <c r="H19" i="20" a="1"/>
  <c r="H19" i="20" s="1"/>
  <c r="I19" i="20"/>
  <c r="J19" i="20"/>
  <c r="K19" i="20"/>
  <c r="L19" i="20"/>
  <c r="M19" i="20"/>
  <c r="N19" i="20"/>
  <c r="D20" i="20" a="1"/>
  <c r="D20" i="20" s="1"/>
  <c r="E20" i="20" a="1"/>
  <c r="E20" i="20" s="1"/>
  <c r="F20" i="20" a="1"/>
  <c r="F20" i="20" s="1"/>
  <c r="B20" i="20" s="1"/>
  <c r="A20" i="20" s="1"/>
  <c r="G20" i="20" a="1"/>
  <c r="G20" i="20" s="1"/>
  <c r="H20" i="20" a="1"/>
  <c r="H20" i="20" s="1"/>
  <c r="I20" i="20"/>
  <c r="J20" i="20"/>
  <c r="K20" i="20"/>
  <c r="L20" i="20"/>
  <c r="M20" i="20"/>
  <c r="N20" i="20"/>
  <c r="D21" i="20" a="1"/>
  <c r="D21" i="20" s="1"/>
  <c r="E21" i="20" a="1"/>
  <c r="E21" i="20" s="1"/>
  <c r="F21" i="20" a="1"/>
  <c r="F21" i="20" s="1"/>
  <c r="B21" i="20" s="1"/>
  <c r="A21" i="20" s="1"/>
  <c r="G21" i="20" a="1"/>
  <c r="G21" i="20" s="1"/>
  <c r="H21" i="20" a="1"/>
  <c r="H21" i="20" s="1"/>
  <c r="I21" i="20"/>
  <c r="J21" i="20"/>
  <c r="K21" i="20"/>
  <c r="L21" i="20"/>
  <c r="M21" i="20"/>
  <c r="N21" i="20"/>
  <c r="D22" i="20" a="1"/>
  <c r="D22" i="20" s="1"/>
  <c r="E22" i="20" a="1"/>
  <c r="E22" i="20" s="1"/>
  <c r="F22" i="20" a="1"/>
  <c r="F22" i="20" s="1"/>
  <c r="B22" i="20" s="1"/>
  <c r="A22" i="20" s="1"/>
  <c r="G22" i="20" a="1"/>
  <c r="G22" i="20" s="1"/>
  <c r="H22" i="20" a="1"/>
  <c r="H22" i="20" s="1"/>
  <c r="I22" i="20"/>
  <c r="J22" i="20"/>
  <c r="K22" i="20"/>
  <c r="L22" i="20"/>
  <c r="M22" i="20"/>
  <c r="N22" i="20"/>
  <c r="D23" i="20" a="1"/>
  <c r="D23" i="20" s="1"/>
  <c r="E23" i="20" a="1"/>
  <c r="E23" i="20" s="1"/>
  <c r="F23" i="20" a="1"/>
  <c r="F23" i="20" s="1"/>
  <c r="B23" i="20" s="1"/>
  <c r="A23" i="20" s="1"/>
  <c r="G23" i="20" a="1"/>
  <c r="G23" i="20" s="1"/>
  <c r="H23" i="20" a="1"/>
  <c r="H23" i="20" s="1"/>
  <c r="I23" i="20"/>
  <c r="J23" i="20"/>
  <c r="K23" i="20"/>
  <c r="L23" i="20"/>
  <c r="M23" i="20"/>
  <c r="N23" i="20"/>
  <c r="D24" i="20" a="1"/>
  <c r="D24" i="20" s="1"/>
  <c r="E24" i="20" a="1"/>
  <c r="E24" i="20" s="1"/>
  <c r="F24" i="20" a="1"/>
  <c r="F24" i="20" s="1"/>
  <c r="B24" i="20" s="1"/>
  <c r="A24" i="20" s="1"/>
  <c r="G24" i="20" a="1"/>
  <c r="G24" i="20" s="1"/>
  <c r="H24" i="20" a="1"/>
  <c r="H24" i="20" s="1"/>
  <c r="I24" i="20"/>
  <c r="J24" i="20"/>
  <c r="K24" i="20"/>
  <c r="L24" i="20"/>
  <c r="M24" i="20"/>
  <c r="N24" i="20"/>
  <c r="N15" i="20"/>
  <c r="M15" i="20"/>
  <c r="L15" i="20"/>
  <c r="K15" i="20"/>
  <c r="J15" i="20"/>
  <c r="I15" i="20"/>
  <c r="H15" i="20" a="1"/>
  <c r="H15" i="20" s="1"/>
  <c r="G15" i="20" a="1"/>
  <c r="G15" i="20" s="1"/>
  <c r="F15" i="20" a="1"/>
  <c r="F15" i="20" s="1"/>
  <c r="B15" i="20" s="1"/>
  <c r="A15" i="20" s="1"/>
  <c r="E15" i="20" a="1"/>
  <c r="E15" i="20" s="1"/>
  <c r="D15" i="20" a="1"/>
  <c r="D15" i="20" s="1"/>
  <c r="N14" i="20"/>
  <c r="M14" i="20"/>
  <c r="L14" i="20"/>
  <c r="K14" i="20"/>
  <c r="J14" i="20"/>
  <c r="I14" i="20"/>
  <c r="H14" i="20" a="1"/>
  <c r="H14" i="20" s="1"/>
  <c r="G14" i="20" a="1"/>
  <c r="G14" i="20" s="1"/>
  <c r="F14" i="20" a="1"/>
  <c r="F14" i="20" s="1"/>
  <c r="B14" i="20" s="1"/>
  <c r="A14" i="20" s="1"/>
  <c r="E14" i="20" a="1"/>
  <c r="E14" i="20" s="1"/>
  <c r="D14" i="20" a="1"/>
  <c r="D14" i="20" s="1"/>
  <c r="N13" i="20"/>
  <c r="M13" i="20"/>
  <c r="L13" i="20"/>
  <c r="K13" i="20"/>
  <c r="J13" i="20"/>
  <c r="I13" i="20"/>
  <c r="H13" i="20" a="1"/>
  <c r="H13" i="20" s="1"/>
  <c r="G13" i="20" a="1"/>
  <c r="G13" i="20" s="1"/>
  <c r="F13" i="20" a="1"/>
  <c r="F13" i="20" s="1"/>
  <c r="B13" i="20" s="1"/>
  <c r="A13" i="20" s="1"/>
  <c r="E13" i="20" a="1"/>
  <c r="E13" i="20" s="1"/>
  <c r="D13" i="20" a="1"/>
  <c r="D13" i="20" s="1"/>
  <c r="N12" i="20"/>
  <c r="M12" i="20"/>
  <c r="L12" i="20"/>
  <c r="K12" i="20"/>
  <c r="J12" i="20"/>
  <c r="I12" i="20"/>
  <c r="H12" i="20" a="1"/>
  <c r="H12" i="20" s="1"/>
  <c r="G12" i="20" a="1"/>
  <c r="G12" i="20" s="1"/>
  <c r="F12" i="20" a="1"/>
  <c r="F12" i="20" s="1"/>
  <c r="B12" i="20" s="1"/>
  <c r="A12" i="20" s="1"/>
  <c r="E12" i="20" a="1"/>
  <c r="E12" i="20" s="1"/>
  <c r="D12" i="20" a="1"/>
  <c r="D12" i="20" s="1"/>
  <c r="N11" i="20"/>
  <c r="M11" i="20"/>
  <c r="L11" i="20"/>
  <c r="K11" i="20"/>
  <c r="J11" i="20"/>
  <c r="I11" i="20"/>
  <c r="H11" i="20" a="1"/>
  <c r="H11" i="20" s="1"/>
  <c r="G11" i="20" a="1"/>
  <c r="G11" i="20" s="1"/>
  <c r="F11" i="20" a="1"/>
  <c r="F11" i="20" s="1"/>
  <c r="B11" i="20" s="1"/>
  <c r="A11" i="20" s="1"/>
  <c r="E11" i="20" a="1"/>
  <c r="E11" i="20" s="1"/>
  <c r="D11" i="20" a="1"/>
  <c r="D11" i="20" s="1"/>
  <c r="N10" i="20"/>
  <c r="M10" i="20"/>
  <c r="L10" i="20"/>
  <c r="K10" i="20"/>
  <c r="J10" i="20"/>
  <c r="I10" i="20"/>
  <c r="H10" i="20" a="1"/>
  <c r="H10" i="20" s="1"/>
  <c r="G10" i="20" a="1"/>
  <c r="G10" i="20" s="1"/>
  <c r="F10" i="20" a="1"/>
  <c r="F10" i="20" s="1"/>
  <c r="B10" i="20" s="1"/>
  <c r="A10" i="20" s="1"/>
  <c r="E10" i="20" a="1"/>
  <c r="E10" i="20" s="1"/>
  <c r="D10" i="20" a="1"/>
  <c r="D10" i="20" s="1"/>
  <c r="N9" i="20"/>
  <c r="M9" i="20"/>
  <c r="L9" i="20"/>
  <c r="K9" i="20"/>
  <c r="J9" i="20"/>
  <c r="I9" i="20"/>
  <c r="H9" i="20" a="1"/>
  <c r="H9" i="20" s="1"/>
  <c r="G9" i="20" a="1"/>
  <c r="G9" i="20" s="1"/>
  <c r="F9" i="20" a="1"/>
  <c r="F9" i="20" s="1"/>
  <c r="B9" i="20" s="1"/>
  <c r="A9" i="20" s="1"/>
  <c r="E9" i="20" a="1"/>
  <c r="E9" i="20" s="1"/>
  <c r="D9" i="20" a="1"/>
  <c r="D9" i="20" s="1"/>
  <c r="N8" i="20"/>
  <c r="M8" i="20"/>
  <c r="L8" i="20"/>
  <c r="K8" i="20"/>
  <c r="J8" i="20"/>
  <c r="I8" i="20"/>
  <c r="H8" i="20" a="1"/>
  <c r="H8" i="20" s="1"/>
  <c r="G8" i="20" a="1"/>
  <c r="G8" i="20" s="1"/>
  <c r="F8" i="20" a="1"/>
  <c r="F8" i="20" s="1"/>
  <c r="B8" i="20" s="1"/>
  <c r="A8" i="20" s="1"/>
  <c r="E8" i="20" a="1"/>
  <c r="E8" i="20" s="1"/>
  <c r="D8" i="20" a="1"/>
  <c r="D8" i="20" s="1"/>
  <c r="N7" i="20"/>
  <c r="M7" i="20"/>
  <c r="L7" i="20"/>
  <c r="K7" i="20"/>
  <c r="J7" i="20"/>
  <c r="I7" i="20"/>
  <c r="H7" i="20" a="1"/>
  <c r="H7" i="20" s="1"/>
  <c r="G7" i="20" a="1"/>
  <c r="G7" i="20" s="1"/>
  <c r="F7" i="20" a="1"/>
  <c r="F7" i="20" s="1"/>
  <c r="B7" i="20" s="1"/>
  <c r="A7" i="20" s="1"/>
  <c r="E7" i="20" a="1"/>
  <c r="E7" i="20" s="1"/>
  <c r="D7" i="20" a="1"/>
  <c r="D7" i="20" s="1"/>
  <c r="N6" i="20"/>
  <c r="M6" i="20"/>
  <c r="L6" i="20"/>
  <c r="K6" i="20"/>
  <c r="J6" i="20"/>
  <c r="I6" i="20"/>
  <c r="H6" i="20" a="1"/>
  <c r="H6" i="20" s="1"/>
  <c r="G6" i="20" a="1"/>
  <c r="G6" i="20" s="1"/>
  <c r="F6" i="20" a="1"/>
  <c r="F6" i="20" s="1"/>
  <c r="B6" i="20" s="1"/>
  <c r="A6" i="20" s="1"/>
  <c r="E6" i="20" a="1"/>
  <c r="E6" i="20" s="1"/>
  <c r="D6" i="20" a="1"/>
  <c r="D6" i="20" s="1"/>
  <c r="N15" i="19"/>
  <c r="M15" i="19"/>
  <c r="L15" i="19"/>
  <c r="K15" i="19"/>
  <c r="J15" i="19"/>
  <c r="I15" i="19"/>
  <c r="H15" i="19" a="1"/>
  <c r="H15" i="19" s="1"/>
  <c r="G15" i="19" a="1"/>
  <c r="G15" i="19" s="1"/>
  <c r="F15" i="19" a="1"/>
  <c r="F15" i="19" s="1"/>
  <c r="B15" i="19" s="1"/>
  <c r="A15" i="19" s="1"/>
  <c r="E15" i="19" a="1"/>
  <c r="E15" i="19" s="1"/>
  <c r="D15" i="19" a="1"/>
  <c r="D15" i="19" s="1"/>
  <c r="N14" i="19"/>
  <c r="M14" i="19"/>
  <c r="L14" i="19"/>
  <c r="K14" i="19"/>
  <c r="J14" i="19"/>
  <c r="I14" i="19"/>
  <c r="H14" i="19" a="1"/>
  <c r="H14" i="19" s="1"/>
  <c r="G14" i="19" a="1"/>
  <c r="G14" i="19" s="1"/>
  <c r="F14" i="19" a="1"/>
  <c r="F14" i="19" s="1"/>
  <c r="B14" i="19" s="1"/>
  <c r="A14" i="19" s="1"/>
  <c r="E14" i="19" a="1"/>
  <c r="E14" i="19" s="1"/>
  <c r="D14" i="19" a="1"/>
  <c r="D14" i="19" s="1"/>
  <c r="N13" i="19"/>
  <c r="M13" i="19"/>
  <c r="L13" i="19"/>
  <c r="K13" i="19"/>
  <c r="J13" i="19"/>
  <c r="I13" i="19"/>
  <c r="H13" i="19" a="1"/>
  <c r="H13" i="19" s="1"/>
  <c r="G13" i="19" a="1"/>
  <c r="G13" i="19" s="1"/>
  <c r="F13" i="19" a="1"/>
  <c r="F13" i="19" s="1"/>
  <c r="B13" i="19" s="1"/>
  <c r="A13" i="19" s="1"/>
  <c r="E13" i="19" a="1"/>
  <c r="E13" i="19" s="1"/>
  <c r="D13" i="19" a="1"/>
  <c r="D13" i="19" s="1"/>
  <c r="N12" i="19"/>
  <c r="M12" i="19"/>
  <c r="L12" i="19"/>
  <c r="K12" i="19"/>
  <c r="J12" i="19"/>
  <c r="I12" i="19"/>
  <c r="H12" i="19" a="1"/>
  <c r="H12" i="19" s="1"/>
  <c r="G12" i="19" a="1"/>
  <c r="G12" i="19" s="1"/>
  <c r="F12" i="19" a="1"/>
  <c r="F12" i="19" s="1"/>
  <c r="B12" i="19" s="1"/>
  <c r="A12" i="19" s="1"/>
  <c r="E12" i="19" a="1"/>
  <c r="E12" i="19" s="1"/>
  <c r="D12" i="19" a="1"/>
  <c r="D12" i="19" s="1"/>
  <c r="N11" i="19"/>
  <c r="M11" i="19"/>
  <c r="L11" i="19"/>
  <c r="K11" i="19"/>
  <c r="J11" i="19"/>
  <c r="I11" i="19"/>
  <c r="H11" i="19" a="1"/>
  <c r="H11" i="19" s="1"/>
  <c r="G11" i="19" a="1"/>
  <c r="G11" i="19" s="1"/>
  <c r="F11" i="19" a="1"/>
  <c r="F11" i="19" s="1"/>
  <c r="B11" i="19" s="1"/>
  <c r="A11" i="19" s="1"/>
  <c r="E11" i="19" a="1"/>
  <c r="E11" i="19" s="1"/>
  <c r="D11" i="19" a="1"/>
  <c r="D11" i="19" s="1"/>
  <c r="N10" i="19"/>
  <c r="M10" i="19"/>
  <c r="L10" i="19"/>
  <c r="K10" i="19"/>
  <c r="J10" i="19"/>
  <c r="I10" i="19"/>
  <c r="H10" i="19" a="1"/>
  <c r="H10" i="19" s="1"/>
  <c r="G10" i="19" a="1"/>
  <c r="G10" i="19" s="1"/>
  <c r="F10" i="19" a="1"/>
  <c r="F10" i="19" s="1"/>
  <c r="B10" i="19" s="1"/>
  <c r="A10" i="19" s="1"/>
  <c r="E10" i="19" a="1"/>
  <c r="E10" i="19" s="1"/>
  <c r="D10" i="19" a="1"/>
  <c r="D10" i="19" s="1"/>
  <c r="N9" i="19"/>
  <c r="M9" i="19"/>
  <c r="L9" i="19"/>
  <c r="K9" i="19"/>
  <c r="J9" i="19"/>
  <c r="I9" i="19"/>
  <c r="H9" i="19" a="1"/>
  <c r="H9" i="19" s="1"/>
  <c r="G9" i="19" a="1"/>
  <c r="G9" i="19" s="1"/>
  <c r="F9" i="19" a="1"/>
  <c r="F9" i="19" s="1"/>
  <c r="B9" i="19" s="1"/>
  <c r="A9" i="19" s="1"/>
  <c r="E9" i="19" a="1"/>
  <c r="E9" i="19" s="1"/>
  <c r="D9" i="19" a="1"/>
  <c r="D9" i="19" s="1"/>
  <c r="N8" i="19"/>
  <c r="M8" i="19"/>
  <c r="L8" i="19"/>
  <c r="K8" i="19"/>
  <c r="J8" i="19"/>
  <c r="I8" i="19"/>
  <c r="H8" i="19" a="1"/>
  <c r="H8" i="19" s="1"/>
  <c r="G8" i="19" a="1"/>
  <c r="G8" i="19" s="1"/>
  <c r="F8" i="19" a="1"/>
  <c r="F8" i="19" s="1"/>
  <c r="B8" i="19" s="1"/>
  <c r="A8" i="19" s="1"/>
  <c r="E8" i="19" a="1"/>
  <c r="E8" i="19" s="1"/>
  <c r="D8" i="19" a="1"/>
  <c r="D8" i="19" s="1"/>
  <c r="N7" i="19"/>
  <c r="M7" i="19"/>
  <c r="L7" i="19"/>
  <c r="K7" i="19"/>
  <c r="J7" i="19"/>
  <c r="I7" i="19"/>
  <c r="H7" i="19" a="1"/>
  <c r="H7" i="19" s="1"/>
  <c r="G7" i="19" a="1"/>
  <c r="G7" i="19" s="1"/>
  <c r="F7" i="19" a="1"/>
  <c r="F7" i="19" s="1"/>
  <c r="B7" i="19" s="1"/>
  <c r="A7" i="19" s="1"/>
  <c r="E7" i="19" a="1"/>
  <c r="E7" i="19" s="1"/>
  <c r="D7" i="19" a="1"/>
  <c r="D7" i="19" s="1"/>
  <c r="N6" i="19"/>
  <c r="M6" i="19"/>
  <c r="L6" i="19"/>
  <c r="K6" i="19"/>
  <c r="J6" i="19"/>
  <c r="I6" i="19"/>
  <c r="H6" i="19" a="1"/>
  <c r="H6" i="19" s="1"/>
  <c r="G6" i="19" a="1"/>
  <c r="G6" i="19" s="1"/>
  <c r="F6" i="19" a="1"/>
  <c r="F6" i="19" s="1"/>
  <c r="B6" i="19" s="1"/>
  <c r="A6" i="19" s="1"/>
  <c r="E6" i="19" a="1"/>
  <c r="E6" i="19" s="1"/>
  <c r="D6" i="19" a="1"/>
  <c r="D6" i="19" s="1"/>
  <c r="D32" i="18" a="1"/>
  <c r="D32" i="18" s="1"/>
  <c r="F39" i="18" a="1"/>
  <c r="F39" i="18" s="1"/>
  <c r="B39" i="18" s="1"/>
  <c r="F38" i="18" a="1"/>
  <c r="F38" i="18" s="1"/>
  <c r="B38" i="18" s="1"/>
  <c r="F37" i="18" a="1"/>
  <c r="F37" i="18"/>
  <c r="B37" i="18" s="1"/>
  <c r="F36" i="18" a="1"/>
  <c r="F36" i="18" s="1"/>
  <c r="B36" i="18" s="1"/>
  <c r="A36" i="18" s="1"/>
  <c r="F35" i="18" a="1"/>
  <c r="F35" i="18" s="1"/>
  <c r="B35" i="18" s="1"/>
  <c r="A35" i="18" s="1"/>
  <c r="F34" i="18" a="1"/>
  <c r="F34" i="18" s="1"/>
  <c r="B34" i="18" s="1"/>
  <c r="A34" i="18" s="1"/>
  <c r="F33" i="18" a="1"/>
  <c r="F33" i="18" s="1"/>
  <c r="B33" i="18" s="1"/>
  <c r="A33" i="18" s="1"/>
  <c r="F32" i="18" a="1"/>
  <c r="F32" i="18"/>
  <c r="B32" i="18" s="1"/>
  <c r="A32" i="18" s="1"/>
  <c r="F31" i="18" a="1"/>
  <c r="F31" i="18"/>
  <c r="D34" i="18" a="1"/>
  <c r="D34" i="18"/>
  <c r="D33" i="18" a="1"/>
  <c r="D33" i="18" s="1"/>
  <c r="N40" i="18"/>
  <c r="M40" i="18"/>
  <c r="L40" i="18"/>
  <c r="K40" i="18"/>
  <c r="J40" i="18"/>
  <c r="I40" i="18"/>
  <c r="H40" i="18" a="1"/>
  <c r="H40" i="18" s="1"/>
  <c r="G40" i="18" a="1"/>
  <c r="G40" i="18" s="1"/>
  <c r="F40" i="18" a="1"/>
  <c r="F40" i="18" s="1"/>
  <c r="B40" i="18" s="1"/>
  <c r="E40" i="18" a="1"/>
  <c r="E40" i="18" s="1"/>
  <c r="D40" i="18" a="1"/>
  <c r="D40" i="18" s="1"/>
  <c r="N39" i="18"/>
  <c r="M39" i="18"/>
  <c r="L39" i="18"/>
  <c r="K39" i="18"/>
  <c r="J39" i="18"/>
  <c r="I39" i="18"/>
  <c r="H39" i="18" a="1"/>
  <c r="H39" i="18" s="1"/>
  <c r="G39" i="18" a="1"/>
  <c r="G39" i="18" s="1"/>
  <c r="E39" i="18" a="1"/>
  <c r="E39" i="18" s="1"/>
  <c r="D39" i="18" a="1"/>
  <c r="D39" i="18" s="1"/>
  <c r="N38" i="18"/>
  <c r="M38" i="18"/>
  <c r="L38" i="18"/>
  <c r="K38" i="18"/>
  <c r="J38" i="18"/>
  <c r="I38" i="18"/>
  <c r="H38" i="18" a="1"/>
  <c r="H38" i="18" s="1"/>
  <c r="G38" i="18" a="1"/>
  <c r="G38" i="18" s="1"/>
  <c r="E38" i="18" a="1"/>
  <c r="E38" i="18" s="1"/>
  <c r="D38" i="18" a="1"/>
  <c r="D38" i="18" s="1"/>
  <c r="N37" i="18"/>
  <c r="M37" i="18"/>
  <c r="L37" i="18"/>
  <c r="K37" i="18"/>
  <c r="J37" i="18"/>
  <c r="I37" i="18"/>
  <c r="H37" i="18" a="1"/>
  <c r="H37" i="18" s="1"/>
  <c r="G37" i="18" a="1"/>
  <c r="G37" i="18" s="1"/>
  <c r="E37" i="18" a="1"/>
  <c r="E37" i="18" s="1"/>
  <c r="D37" i="18" a="1"/>
  <c r="D37" i="18" s="1"/>
  <c r="N36" i="18"/>
  <c r="M36" i="18"/>
  <c r="L36" i="18"/>
  <c r="K36" i="18"/>
  <c r="J36" i="18"/>
  <c r="I36" i="18"/>
  <c r="H36" i="18" a="1"/>
  <c r="H36" i="18" s="1"/>
  <c r="G36" i="18" a="1"/>
  <c r="G36" i="18" s="1"/>
  <c r="E36" i="18" a="1"/>
  <c r="E36" i="18" s="1"/>
  <c r="D36" i="18" a="1"/>
  <c r="D36" i="18" s="1"/>
  <c r="N35" i="18"/>
  <c r="M35" i="18"/>
  <c r="L35" i="18"/>
  <c r="K35" i="18"/>
  <c r="J35" i="18"/>
  <c r="I35" i="18"/>
  <c r="H35" i="18" a="1"/>
  <c r="H35" i="18" s="1"/>
  <c r="G35" i="18" a="1"/>
  <c r="G35" i="18" s="1"/>
  <c r="E35" i="18" a="1"/>
  <c r="E35" i="18" s="1"/>
  <c r="D35" i="18" a="1"/>
  <c r="D35" i="18" s="1"/>
  <c r="N34" i="18"/>
  <c r="M34" i="18"/>
  <c r="L34" i="18"/>
  <c r="K34" i="18"/>
  <c r="J34" i="18"/>
  <c r="I34" i="18"/>
  <c r="H34" i="18" a="1"/>
  <c r="H34" i="18" s="1"/>
  <c r="G34" i="18" a="1"/>
  <c r="G34" i="18" s="1"/>
  <c r="E34" i="18" a="1"/>
  <c r="E34" i="18" s="1"/>
  <c r="N33" i="18"/>
  <c r="M33" i="18"/>
  <c r="L33" i="18"/>
  <c r="K33" i="18"/>
  <c r="J33" i="18"/>
  <c r="I33" i="18"/>
  <c r="H33" i="18" a="1"/>
  <c r="H33" i="18" s="1"/>
  <c r="G33" i="18" a="1"/>
  <c r="G33" i="18" s="1"/>
  <c r="E33" i="18" a="1"/>
  <c r="E33" i="18" s="1"/>
  <c r="N32" i="18"/>
  <c r="M32" i="18"/>
  <c r="L32" i="18"/>
  <c r="K32" i="18"/>
  <c r="J32" i="18"/>
  <c r="I32" i="18"/>
  <c r="H32" i="18" a="1"/>
  <c r="H32" i="18" s="1"/>
  <c r="G32" i="18" a="1"/>
  <c r="G32" i="18" s="1"/>
  <c r="E32" i="18" a="1"/>
  <c r="E32" i="18" s="1"/>
  <c r="N31" i="18"/>
  <c r="M31" i="18"/>
  <c r="L31" i="18"/>
  <c r="K31" i="18"/>
  <c r="J31" i="18"/>
  <c r="I31" i="18"/>
  <c r="H31" i="18" a="1"/>
  <c r="H31" i="18" s="1"/>
  <c r="G31" i="18" a="1"/>
  <c r="G31" i="18" s="1"/>
  <c r="E31" i="18" a="1"/>
  <c r="E31" i="18" s="1"/>
  <c r="D31" i="18" a="1"/>
  <c r="D31" i="18" s="1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J14" i="18"/>
  <c r="J12" i="18"/>
  <c r="J11" i="18"/>
  <c r="J10" i="18"/>
  <c r="J9" i="18"/>
  <c r="J8" i="18"/>
  <c r="J7" i="18"/>
  <c r="K17" i="18"/>
  <c r="K16" i="18"/>
  <c r="K15" i="18"/>
  <c r="K14" i="18"/>
  <c r="K13" i="18"/>
  <c r="K12" i="18"/>
  <c r="K11" i="18"/>
  <c r="K10" i="18"/>
  <c r="K9" i="18"/>
  <c r="K8" i="18"/>
  <c r="K7" i="18"/>
  <c r="K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6" i="18"/>
  <c r="I6" i="18"/>
  <c r="D24" i="18" a="1"/>
  <c r="D24" i="18" s="1"/>
  <c r="K18" i="18"/>
  <c r="K19" i="18"/>
  <c r="K20" i="18"/>
  <c r="K21" i="18"/>
  <c r="K22" i="18"/>
  <c r="K23" i="18"/>
  <c r="K24" i="18"/>
  <c r="K25" i="18"/>
  <c r="D6" i="18" a="1"/>
  <c r="D6" i="18" s="1"/>
  <c r="J13" i="18"/>
  <c r="J15" i="18"/>
  <c r="J16" i="18"/>
  <c r="J17" i="18"/>
  <c r="J18" i="18"/>
  <c r="J19" i="18"/>
  <c r="J20" i="18"/>
  <c r="J21" i="18"/>
  <c r="J22" i="18"/>
  <c r="J23" i="18"/>
  <c r="J24" i="18"/>
  <c r="J25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H25" i="18" a="1"/>
  <c r="H25" i="18" s="1"/>
  <c r="H24" i="18" a="1"/>
  <c r="H24" i="18" s="1"/>
  <c r="H23" i="18" a="1"/>
  <c r="H23" i="18" s="1"/>
  <c r="H22" i="18" a="1"/>
  <c r="H22" i="18" s="1"/>
  <c r="H21" i="18" a="1"/>
  <c r="H21" i="18" s="1"/>
  <c r="H20" i="18" a="1"/>
  <c r="H20" i="18" s="1"/>
  <c r="H19" i="18" a="1"/>
  <c r="H19" i="18" s="1"/>
  <c r="H18" i="18" a="1"/>
  <c r="H18" i="18" s="1"/>
  <c r="H17" i="18" a="1"/>
  <c r="H17" i="18" s="1"/>
  <c r="H16" i="18" a="1"/>
  <c r="H16" i="18" s="1"/>
  <c r="H15" i="18" a="1"/>
  <c r="H15" i="18" s="1"/>
  <c r="H14" i="18" a="1"/>
  <c r="H14" i="18" s="1"/>
  <c r="H13" i="18" a="1"/>
  <c r="H13" i="18" s="1"/>
  <c r="H12" i="18" a="1"/>
  <c r="H12" i="18" s="1"/>
  <c r="H11" i="18" a="1"/>
  <c r="H11" i="18" s="1"/>
  <c r="H10" i="18" a="1"/>
  <c r="H10" i="18" s="1"/>
  <c r="H9" i="18" a="1"/>
  <c r="H9" i="18" s="1"/>
  <c r="H8" i="18" a="1"/>
  <c r="H8" i="18" s="1"/>
  <c r="H7" i="18" a="1"/>
  <c r="H7" i="18" s="1"/>
  <c r="I6" i="17" a="1"/>
  <c r="I6" i="17" s="1"/>
  <c r="B6" i="15"/>
  <c r="B6" i="17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6" i="18"/>
  <c r="L6" i="14"/>
  <c r="G6" i="18" a="1"/>
  <c r="G6" i="18" s="1"/>
  <c r="G7" i="18" a="1"/>
  <c r="G7" i="18" s="1"/>
  <c r="G8" i="18" a="1"/>
  <c r="G8" i="18" s="1"/>
  <c r="G9" i="18" a="1"/>
  <c r="G9" i="18" s="1"/>
  <c r="G10" i="18" a="1"/>
  <c r="G10" i="18" s="1"/>
  <c r="G11" i="18" a="1"/>
  <c r="G11" i="18" s="1"/>
  <c r="G12" i="18" a="1"/>
  <c r="G12" i="18" s="1"/>
  <c r="G13" i="18" a="1"/>
  <c r="G13" i="18" s="1"/>
  <c r="G14" i="18" a="1"/>
  <c r="G14" i="18" s="1"/>
  <c r="G15" i="18" a="1"/>
  <c r="G15" i="18" s="1"/>
  <c r="G16" i="18" a="1"/>
  <c r="G16" i="18" s="1"/>
  <c r="G17" i="18" a="1"/>
  <c r="G17" i="18" s="1"/>
  <c r="G18" i="18" a="1"/>
  <c r="G18" i="18" s="1"/>
  <c r="G19" i="18" a="1"/>
  <c r="G19" i="18" s="1"/>
  <c r="G20" i="18" a="1"/>
  <c r="G20" i="18" s="1"/>
  <c r="G21" i="18" a="1"/>
  <c r="G21" i="18" s="1"/>
  <c r="G22" i="18" a="1"/>
  <c r="G22" i="18" s="1"/>
  <c r="G23" i="18" a="1"/>
  <c r="G23" i="18" s="1"/>
  <c r="G24" i="18" a="1"/>
  <c r="G24" i="18" s="1"/>
  <c r="G25" i="18" a="1"/>
  <c r="G25" i="18" s="1"/>
  <c r="F6" i="18" a="1"/>
  <c r="F6" i="18" s="1"/>
  <c r="B6" i="18" s="1"/>
  <c r="F7" i="18" a="1"/>
  <c r="F7" i="18" s="1"/>
  <c r="B7" i="18" s="1"/>
  <c r="F8" i="18" a="1"/>
  <c r="F8" i="18" s="1"/>
  <c r="B8" i="18" s="1"/>
  <c r="F9" i="18" a="1"/>
  <c r="F9" i="18" s="1"/>
  <c r="B9" i="18" s="1"/>
  <c r="F10" i="18" a="1"/>
  <c r="F10" i="18" s="1"/>
  <c r="B10" i="18" s="1"/>
  <c r="F11" i="18" a="1"/>
  <c r="F11" i="18" s="1"/>
  <c r="B11" i="18" s="1"/>
  <c r="F12" i="18" a="1"/>
  <c r="F12" i="18" s="1"/>
  <c r="B12" i="18" s="1"/>
  <c r="F13" i="18" a="1"/>
  <c r="F13" i="18" s="1"/>
  <c r="B13" i="18" s="1"/>
  <c r="F14" i="18" a="1"/>
  <c r="F14" i="18" s="1"/>
  <c r="B14" i="18" s="1"/>
  <c r="F15" i="18" a="1"/>
  <c r="F15" i="18" s="1"/>
  <c r="B15" i="18" s="1"/>
  <c r="F16" i="18" a="1"/>
  <c r="F16" i="18" s="1"/>
  <c r="B16" i="18" s="1"/>
  <c r="F17" i="18" a="1"/>
  <c r="F17" i="18" s="1"/>
  <c r="B17" i="18" s="1"/>
  <c r="F18" i="18" a="1"/>
  <c r="F18" i="18" s="1"/>
  <c r="B18" i="18" s="1"/>
  <c r="F19" i="18" a="1"/>
  <c r="F19" i="18" s="1"/>
  <c r="B19" i="18" s="1"/>
  <c r="F20" i="18" a="1"/>
  <c r="F20" i="18" s="1"/>
  <c r="B20" i="18" s="1"/>
  <c r="F21" i="18" a="1"/>
  <c r="F21" i="18" s="1"/>
  <c r="B21" i="18" s="1"/>
  <c r="F22" i="18" a="1"/>
  <c r="F22" i="18" s="1"/>
  <c r="B22" i="18" s="1"/>
  <c r="F23" i="18" a="1"/>
  <c r="F23" i="18" s="1"/>
  <c r="B23" i="18" s="1"/>
  <c r="F24" i="18" a="1"/>
  <c r="F24" i="18" s="1"/>
  <c r="B24" i="18" s="1"/>
  <c r="F25" i="18" a="1"/>
  <c r="F25" i="18" s="1"/>
  <c r="B25" i="18" s="1"/>
  <c r="E6" i="18" a="1"/>
  <c r="E6" i="18" s="1"/>
  <c r="E7" i="18" a="1"/>
  <c r="E7" i="18" s="1"/>
  <c r="E8" i="18" a="1"/>
  <c r="E8" i="18" s="1"/>
  <c r="E9" i="18" a="1"/>
  <c r="E9" i="18" s="1"/>
  <c r="E10" i="18" a="1"/>
  <c r="E10" i="18" s="1"/>
  <c r="E11" i="18" a="1"/>
  <c r="E11" i="18" s="1"/>
  <c r="E12" i="18" a="1"/>
  <c r="E12" i="18" s="1"/>
  <c r="E13" i="18" a="1"/>
  <c r="E13" i="18" s="1"/>
  <c r="E14" i="18" a="1"/>
  <c r="E14" i="18" s="1"/>
  <c r="E15" i="18" a="1"/>
  <c r="E15" i="18" s="1"/>
  <c r="E16" i="18" a="1"/>
  <c r="E16" i="18" s="1"/>
  <c r="E17" i="18" a="1"/>
  <c r="E17" i="18" s="1"/>
  <c r="E18" i="18" a="1"/>
  <c r="E18" i="18" s="1"/>
  <c r="E19" i="18" a="1"/>
  <c r="E19" i="18" s="1"/>
  <c r="E20" i="18" a="1"/>
  <c r="E20" i="18" s="1"/>
  <c r="E21" i="18" a="1"/>
  <c r="E21" i="18" s="1"/>
  <c r="E22" i="18" a="1"/>
  <c r="E22" i="18" s="1"/>
  <c r="E23" i="18" a="1"/>
  <c r="E23" i="18" s="1"/>
  <c r="E24" i="18" a="1"/>
  <c r="E24" i="18" s="1"/>
  <c r="E25" i="18" a="1"/>
  <c r="E25" i="18" s="1"/>
  <c r="D7" i="18" a="1"/>
  <c r="D7" i="18" s="1"/>
  <c r="D8" i="18" a="1"/>
  <c r="D8" i="18" s="1"/>
  <c r="D9" i="18" a="1"/>
  <c r="D9" i="18" s="1"/>
  <c r="D10" i="18" a="1"/>
  <c r="D10" i="18" s="1"/>
  <c r="D11" i="18" a="1"/>
  <c r="D11" i="18" s="1"/>
  <c r="D12" i="18" a="1"/>
  <c r="D12" i="18" s="1"/>
  <c r="D13" i="18" a="1"/>
  <c r="D13" i="18" s="1"/>
  <c r="D14" i="18" a="1"/>
  <c r="D14" i="18" s="1"/>
  <c r="D15" i="18" a="1"/>
  <c r="D15" i="18" s="1"/>
  <c r="D16" i="18" a="1"/>
  <c r="D16" i="18" s="1"/>
  <c r="D17" i="18" a="1"/>
  <c r="D17" i="18" s="1"/>
  <c r="D18" i="18" a="1"/>
  <c r="D18" i="18" s="1"/>
  <c r="D19" i="18" a="1"/>
  <c r="D19" i="18" s="1"/>
  <c r="D20" i="18" a="1"/>
  <c r="D20" i="18" s="1"/>
  <c r="D21" i="18" a="1"/>
  <c r="D21" i="18" s="1"/>
  <c r="D22" i="18" a="1"/>
  <c r="D22" i="18" s="1"/>
  <c r="D23" i="18" a="1"/>
  <c r="D23" i="18" s="1"/>
  <c r="D25" i="18" a="1"/>
  <c r="D25" i="18" s="1"/>
  <c r="H14" i="16"/>
  <c r="H13" i="16"/>
  <c r="H12" i="16"/>
  <c r="H11" i="16"/>
  <c r="H10" i="16"/>
  <c r="H9" i="16"/>
  <c r="H8" i="16"/>
  <c r="H7" i="16"/>
  <c r="H6" i="16"/>
  <c r="G14" i="16" a="1"/>
  <c r="G14" i="16"/>
  <c r="G13" i="16" a="1"/>
  <c r="G13" i="16"/>
  <c r="G12" i="16" a="1"/>
  <c r="G12" i="16" s="1"/>
  <c r="G11" i="16" a="1"/>
  <c r="G11" i="16"/>
  <c r="G10" i="16" a="1"/>
  <c r="G10" i="16" s="1"/>
  <c r="G9" i="16" a="1"/>
  <c r="G9" i="16" s="1"/>
  <c r="G8" i="16" a="1"/>
  <c r="G8" i="16" s="1"/>
  <c r="G7" i="16" a="1"/>
  <c r="G7" i="16"/>
  <c r="G6" i="16" a="1"/>
  <c r="G6" i="16"/>
  <c r="H6" i="15" a="1"/>
  <c r="H6" i="15"/>
  <c r="F7" i="16" a="1"/>
  <c r="F7" i="16" s="1"/>
  <c r="F8" i="16" a="1"/>
  <c r="F8" i="16" s="1"/>
  <c r="F9" i="16" a="1"/>
  <c r="F9" i="16" s="1"/>
  <c r="F10" i="16" a="1"/>
  <c r="F10" i="16" s="1"/>
  <c r="F11" i="16" a="1"/>
  <c r="F11" i="16" s="1"/>
  <c r="F12" i="16" a="1"/>
  <c r="F12" i="16" s="1"/>
  <c r="F13" i="16" a="1"/>
  <c r="F13" i="16" s="1"/>
  <c r="F14" i="16" a="1"/>
  <c r="F14" i="16" s="1"/>
  <c r="F6" i="16" a="1"/>
  <c r="F6" i="16"/>
  <c r="E6" i="16" a="1"/>
  <c r="E6" i="16" s="1"/>
  <c r="E7" i="16" a="1"/>
  <c r="E7" i="16"/>
  <c r="E8" i="16" a="1"/>
  <c r="E8" i="16"/>
  <c r="E9" i="16" a="1"/>
  <c r="E9" i="16"/>
  <c r="E10" i="16" a="1"/>
  <c r="E10" i="16" s="1"/>
  <c r="E11" i="16" a="1"/>
  <c r="E11" i="16"/>
  <c r="E12" i="16" a="1"/>
  <c r="E12" i="16" s="1"/>
  <c r="E13" i="16" a="1"/>
  <c r="E13" i="16"/>
  <c r="E14" i="16" a="1"/>
  <c r="E14" i="16"/>
  <c r="D6" i="16" a="1"/>
  <c r="D6" i="16"/>
  <c r="D9" i="16" a="1"/>
  <c r="D9" i="16"/>
  <c r="D8" i="16" a="1"/>
  <c r="D8" i="16"/>
  <c r="D7" i="16" a="1"/>
  <c r="D7" i="16"/>
  <c r="D10" i="16" a="1"/>
  <c r="D10" i="16" s="1"/>
  <c r="D11" i="16" a="1"/>
  <c r="D11" i="16" s="1"/>
  <c r="D12" i="16" a="1"/>
  <c r="D12" i="16"/>
  <c r="D13" i="16" a="1"/>
  <c r="D13" i="16" s="1"/>
  <c r="D14" i="16" a="1"/>
  <c r="D14" i="16" s="1"/>
  <c r="C6" i="16" a="1"/>
  <c r="C6" i="16"/>
  <c r="C7" i="16" a="1"/>
  <c r="C7" i="16" s="1"/>
  <c r="C8" i="16" a="1"/>
  <c r="C8" i="16" s="1"/>
  <c r="C9" i="16" a="1"/>
  <c r="C9" i="16"/>
  <c r="C10" i="16" a="1"/>
  <c r="C10" i="16" s="1"/>
  <c r="C11" i="16" a="1"/>
  <c r="C11" i="16" s="1"/>
  <c r="C12" i="16" a="1"/>
  <c r="C12" i="16"/>
  <c r="C13" i="16" a="1"/>
  <c r="C13" i="16" s="1"/>
  <c r="C14" i="16" a="1"/>
  <c r="C14" i="16" s="1"/>
  <c r="D6" i="15" a="1"/>
  <c r="D6" i="15"/>
  <c r="I10" i="15"/>
  <c r="I9" i="15"/>
  <c r="I8" i="15"/>
  <c r="I7" i="15"/>
  <c r="I6" i="15"/>
  <c r="H14" i="15" a="1"/>
  <c r="H14" i="15"/>
  <c r="H13" i="15" a="1"/>
  <c r="H13" i="15"/>
  <c r="H12" i="15" a="1"/>
  <c r="H12" i="15"/>
  <c r="H11" i="15" a="1"/>
  <c r="H11" i="15"/>
  <c r="H10" i="15" a="1"/>
  <c r="H10" i="15"/>
  <c r="H9" i="15" a="1"/>
  <c r="H9" i="15" s="1"/>
  <c r="H8" i="15" a="1"/>
  <c r="H8" i="15" s="1"/>
  <c r="H7" i="15" a="1"/>
  <c r="H7" i="15"/>
  <c r="H15" i="15" a="1"/>
  <c r="H15" i="15" s="1"/>
  <c r="H16" i="15" a="1"/>
  <c r="H16" i="15"/>
  <c r="H17" i="15" a="1"/>
  <c r="H17" i="15" s="1"/>
  <c r="H18" i="15" a="1"/>
  <c r="H18" i="15"/>
  <c r="H19" i="15" a="1"/>
  <c r="H19" i="15"/>
  <c r="H20" i="15" a="1"/>
  <c r="H20" i="15" s="1"/>
  <c r="H21" i="15" a="1"/>
  <c r="H21" i="15" s="1"/>
  <c r="H6" i="14" a="1"/>
  <c r="H6" i="14"/>
  <c r="I6" i="14"/>
  <c r="G6" i="15" a="1"/>
  <c r="G6" i="15"/>
  <c r="G8" i="15" a="1"/>
  <c r="G8" i="15"/>
  <c r="G7" i="15" a="1"/>
  <c r="G7" i="15" s="1"/>
  <c r="G9" i="15" a="1"/>
  <c r="G9" i="15"/>
  <c r="G10" i="15" a="1"/>
  <c r="G10" i="15" s="1"/>
  <c r="G11" i="15" a="1"/>
  <c r="G11" i="15" s="1"/>
  <c r="G12" i="15" a="1"/>
  <c r="G12" i="15"/>
  <c r="G13" i="15" a="1"/>
  <c r="G13" i="15" s="1"/>
  <c r="G14" i="15" a="1"/>
  <c r="G14" i="15" s="1"/>
  <c r="G15" i="15" a="1"/>
  <c r="G15" i="15"/>
  <c r="G16" i="15" a="1"/>
  <c r="G16" i="15" s="1"/>
  <c r="G17" i="15" a="1"/>
  <c r="G17" i="15" s="1"/>
  <c r="G18" i="15" a="1"/>
  <c r="G18" i="15"/>
  <c r="G19" i="15" a="1"/>
  <c r="G19" i="15" s="1"/>
  <c r="G20" i="15" a="1"/>
  <c r="G20" i="15" s="1"/>
  <c r="G21" i="15" a="1"/>
  <c r="G21" i="15"/>
  <c r="F6" i="15" a="1"/>
  <c r="F6" i="15" s="1"/>
  <c r="F7" i="15" a="1"/>
  <c r="F7" i="15" s="1"/>
  <c r="F8" i="15" a="1"/>
  <c r="F8" i="15" s="1"/>
  <c r="F9" i="15" a="1"/>
  <c r="F9" i="15"/>
  <c r="F10" i="15" a="1"/>
  <c r="F10" i="15" s="1"/>
  <c r="F11" i="15" a="1"/>
  <c r="F11" i="15"/>
  <c r="F12" i="15" a="1"/>
  <c r="F12" i="15"/>
  <c r="F13" i="15" a="1"/>
  <c r="F13" i="15" s="1"/>
  <c r="F14" i="15" a="1"/>
  <c r="F14" i="15" s="1"/>
  <c r="F15" i="15" a="1"/>
  <c r="F15" i="15"/>
  <c r="F16" i="15" a="1"/>
  <c r="F16" i="15" s="1"/>
  <c r="F17" i="15" a="1"/>
  <c r="F17" i="15"/>
  <c r="F18" i="15" a="1"/>
  <c r="F18" i="15"/>
  <c r="F19" i="15" a="1"/>
  <c r="F19" i="15" s="1"/>
  <c r="F20" i="15" a="1"/>
  <c r="F20" i="15" s="1"/>
  <c r="F21" i="15" a="1"/>
  <c r="F21" i="15"/>
  <c r="F6" i="14" a="1"/>
  <c r="F6" i="14"/>
  <c r="E7" i="15" a="1"/>
  <c r="E7" i="15"/>
  <c r="E8" i="15" a="1"/>
  <c r="E8" i="15" s="1"/>
  <c r="E9" i="15" a="1"/>
  <c r="E9" i="15"/>
  <c r="E10" i="15" a="1"/>
  <c r="E10" i="15"/>
  <c r="E11" i="15" a="1"/>
  <c r="E11" i="15"/>
  <c r="E12" i="15" a="1"/>
  <c r="E12" i="15"/>
  <c r="E13" i="15" a="1"/>
  <c r="E13" i="15"/>
  <c r="E14" i="15" a="1"/>
  <c r="E14" i="15" s="1"/>
  <c r="E15" i="15" a="1"/>
  <c r="E15" i="15"/>
  <c r="E16" i="15" a="1"/>
  <c r="E16" i="15"/>
  <c r="E17" i="15" a="1"/>
  <c r="E17" i="15"/>
  <c r="E18" i="15" a="1"/>
  <c r="E18" i="15"/>
  <c r="E19" i="15" a="1"/>
  <c r="E19" i="15"/>
  <c r="E20" i="15" a="1"/>
  <c r="E20" i="15" s="1"/>
  <c r="E21" i="15" a="1"/>
  <c r="E21" i="15"/>
  <c r="E6" i="15" a="1"/>
  <c r="E6" i="15" s="1"/>
  <c r="D7" i="15" a="1"/>
  <c r="D7" i="15" s="1"/>
  <c r="D8" i="15" a="1"/>
  <c r="D8" i="15" s="1"/>
  <c r="D9" i="15" a="1"/>
  <c r="D9" i="15"/>
  <c r="D10" i="15" a="1"/>
  <c r="D10" i="15" s="1"/>
  <c r="D11" i="15" a="1"/>
  <c r="D11" i="15" s="1"/>
  <c r="D12" i="15" a="1"/>
  <c r="D12" i="15" s="1"/>
  <c r="D13" i="15" a="1"/>
  <c r="D13" i="15" s="1"/>
  <c r="D14" i="15" a="1"/>
  <c r="D14" i="15" s="1"/>
  <c r="D15" i="15" a="1"/>
  <c r="D15" i="15"/>
  <c r="D16" i="15" a="1"/>
  <c r="D16" i="15" s="1"/>
  <c r="D17" i="15" a="1"/>
  <c r="D17" i="15" s="1"/>
  <c r="D18" i="15" a="1"/>
  <c r="D18" i="15"/>
  <c r="D19" i="15" a="1"/>
  <c r="D19" i="15" s="1"/>
  <c r="D20" i="15" a="1"/>
  <c r="D20" i="15" s="1"/>
  <c r="D21" i="15" a="1"/>
  <c r="D21" i="15"/>
  <c r="D6" i="14" a="1"/>
  <c r="D6" i="14"/>
  <c r="N6" i="17" a="1"/>
  <c r="N6" i="17" s="1"/>
  <c r="K6" i="14"/>
  <c r="J6" i="14"/>
  <c r="H7" i="14" a="1"/>
  <c r="H7" i="14"/>
  <c r="H8" i="14" a="1"/>
  <c r="H8" i="14" s="1"/>
  <c r="H9" i="14" a="1"/>
  <c r="H9" i="14" s="1"/>
  <c r="H10" i="14" a="1"/>
  <c r="H10" i="14"/>
  <c r="H11" i="14" a="1"/>
  <c r="H11" i="14" s="1"/>
  <c r="H12" i="14" a="1"/>
  <c r="H12" i="14"/>
  <c r="H13" i="14" a="1"/>
  <c r="H13" i="14"/>
  <c r="G6" i="14" a="1"/>
  <c r="G6" i="14"/>
  <c r="G7" i="14" a="1"/>
  <c r="G7" i="14"/>
  <c r="G8" i="14" a="1"/>
  <c r="G8" i="14" s="1"/>
  <c r="G9" i="14" a="1"/>
  <c r="G9" i="14" s="1"/>
  <c r="G10" i="14" a="1"/>
  <c r="G10" i="14"/>
  <c r="G11" i="14" a="1"/>
  <c r="G11" i="14" s="1"/>
  <c r="G12" i="14" a="1"/>
  <c r="G12" i="14"/>
  <c r="G13" i="14" a="1"/>
  <c r="G13" i="14"/>
  <c r="F7" i="14" a="1"/>
  <c r="F7" i="14"/>
  <c r="F8" i="14" a="1"/>
  <c r="F8" i="14" s="1"/>
  <c r="F9" i="14" a="1"/>
  <c r="F9" i="14" s="1"/>
  <c r="F10" i="14" a="1"/>
  <c r="F10" i="14" s="1"/>
  <c r="F11" i="14" a="1"/>
  <c r="F11" i="14" s="1"/>
  <c r="F12" i="14" a="1"/>
  <c r="F12" i="14" s="1"/>
  <c r="F13" i="14" a="1"/>
  <c r="F13" i="14" s="1"/>
  <c r="E6" i="14" a="1"/>
  <c r="E6" i="14"/>
  <c r="E10" i="14" a="1"/>
  <c r="E10" i="14" s="1"/>
  <c r="E9" i="14" a="1"/>
  <c r="E9" i="14"/>
  <c r="E8" i="14" a="1"/>
  <c r="E8" i="14"/>
  <c r="E7" i="14" a="1"/>
  <c r="E7" i="14"/>
  <c r="E11" i="14" a="1"/>
  <c r="E11" i="14" s="1"/>
  <c r="E12" i="14" a="1"/>
  <c r="E12" i="14"/>
  <c r="E13" i="14" a="1"/>
  <c r="E13" i="14" s="1"/>
  <c r="D8" i="14" a="1"/>
  <c r="D8" i="14" s="1"/>
  <c r="D7" i="14" a="1"/>
  <c r="D7" i="14" s="1"/>
  <c r="D9" i="14" a="1"/>
  <c r="D9" i="14" s="1"/>
  <c r="D10" i="14" a="1"/>
  <c r="D10" i="14" s="1"/>
  <c r="D11" i="14" a="1"/>
  <c r="D11" i="14" s="1"/>
  <c r="D12" i="14" a="1"/>
  <c r="D12" i="14" s="1"/>
  <c r="D13" i="14" a="1"/>
  <c r="D13" i="14"/>
  <c r="C33" i="17"/>
  <c r="C39" i="17"/>
  <c r="B9" i="17"/>
  <c r="B33" i="17"/>
  <c r="B39" i="17"/>
  <c r="I7" i="17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M6" i="17" a="1"/>
  <c r="M6" i="17" s="1"/>
  <c r="L7" i="17" a="1"/>
  <c r="L7" i="17"/>
  <c r="C7" i="17" s="1"/>
  <c r="L6" i="17" a="1"/>
  <c r="L6" i="17"/>
  <c r="C6" i="17" s="1"/>
  <c r="K6" i="17" a="1"/>
  <c r="K6" i="17" s="1"/>
  <c r="J6" i="17" a="1"/>
  <c r="J6" i="17" s="1"/>
  <c r="H14" i="17" a="1"/>
  <c r="H14" i="17"/>
  <c r="H13" i="17" a="1"/>
  <c r="H13" i="17" s="1"/>
  <c r="H12" i="17" a="1"/>
  <c r="H12" i="17"/>
  <c r="H11" i="17" a="1"/>
  <c r="H11" i="17" s="1"/>
  <c r="H10" i="17" a="1"/>
  <c r="H10" i="17" s="1"/>
  <c r="H9" i="17" a="1"/>
  <c r="H9" i="17" s="1"/>
  <c r="H8" i="17" a="1"/>
  <c r="H8" i="17" s="1"/>
  <c r="H7" i="17" a="1"/>
  <c r="H7" i="17" s="1"/>
  <c r="H6" i="17" a="1"/>
  <c r="H6" i="17" s="1"/>
  <c r="H15" i="17" a="1"/>
  <c r="H15" i="17" s="1"/>
  <c r="H16" i="17" a="1"/>
  <c r="H16" i="17"/>
  <c r="H17" i="17" a="1"/>
  <c r="H17" i="17" s="1"/>
  <c r="H18" i="17" a="1"/>
  <c r="H18" i="17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G13" i="17" a="1"/>
  <c r="G13" i="17" s="1"/>
  <c r="G12" i="17" a="1"/>
  <c r="G12" i="17" s="1"/>
  <c r="G11" i="17" a="1"/>
  <c r="G11" i="17" s="1"/>
  <c r="G10" i="17" a="1"/>
  <c r="G10" i="17" s="1"/>
  <c r="G9" i="17" a="1"/>
  <c r="G9" i="17" s="1"/>
  <c r="G8" i="17" a="1"/>
  <c r="G8" i="17" s="1"/>
  <c r="G7" i="17" a="1"/>
  <c r="G7" i="17" s="1"/>
  <c r="G6" i="17" a="1"/>
  <c r="G6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F6" i="17" a="1"/>
  <c r="F6" i="17" s="1"/>
  <c r="F9" i="17" a="1"/>
  <c r="F9" i="17" s="1"/>
  <c r="F8" i="17" a="1"/>
  <c r="F8" i="17" s="1"/>
  <c r="F7" i="17" a="1"/>
  <c r="F7" i="17" s="1"/>
  <c r="F10" i="17" a="1"/>
  <c r="F10" i="17" s="1"/>
  <c r="F11" i="17" a="1"/>
  <c r="F11" i="17" s="1"/>
  <c r="F12" i="17" a="1"/>
  <c r="F12" i="17" s="1"/>
  <c r="F13" i="17" a="1"/>
  <c r="F13" i="17"/>
  <c r="F14" i="17" a="1"/>
  <c r="F14" i="17" s="1"/>
  <c r="F15" i="17" a="1"/>
  <c r="F15" i="17" s="1"/>
  <c r="F16" i="17" a="1"/>
  <c r="F16" i="17"/>
  <c r="F17" i="17" a="1"/>
  <c r="F17" i="17" s="1"/>
  <c r="F18" i="17" a="1"/>
  <c r="F18" i="17"/>
  <c r="F19" i="17" a="1"/>
  <c r="F19" i="17" s="1"/>
  <c r="F20" i="17" a="1"/>
  <c r="F20" i="17" s="1"/>
  <c r="F21" i="17" a="1"/>
  <c r="F21" i="17" s="1"/>
  <c r="F22" i="17" a="1"/>
  <c r="F22" i="17" s="1"/>
  <c r="F23" i="17" a="1"/>
  <c r="F23" i="17" s="1"/>
  <c r="F24" i="17" a="1"/>
  <c r="F24" i="17"/>
  <c r="F25" i="17" a="1"/>
  <c r="F25" i="17"/>
  <c r="F26" i="17" a="1"/>
  <c r="F26" i="17" s="1"/>
  <c r="F27" i="17" a="1"/>
  <c r="F27" i="17"/>
  <c r="F28" i="17" a="1"/>
  <c r="F28" i="17" s="1"/>
  <c r="F29" i="17" a="1"/>
  <c r="F29" i="17" s="1"/>
  <c r="F30" i="17" a="1"/>
  <c r="F30" i="17" s="1"/>
  <c r="F31" i="17" a="1"/>
  <c r="F31" i="17"/>
  <c r="F32" i="17" a="1"/>
  <c r="F32" i="17" s="1"/>
  <c r="F33" i="17" a="1"/>
  <c r="F33" i="17"/>
  <c r="F34" i="17" a="1"/>
  <c r="F34" i="17"/>
  <c r="F35" i="17" a="1"/>
  <c r="F35" i="17" s="1"/>
  <c r="F36" i="17" a="1"/>
  <c r="F36" i="17"/>
  <c r="F37" i="17" a="1"/>
  <c r="F37" i="17" s="1"/>
  <c r="F38" i="17" a="1"/>
  <c r="F38" i="17" s="1"/>
  <c r="F39" i="17" a="1"/>
  <c r="F39" i="17" s="1"/>
  <c r="F40" i="17" a="1"/>
  <c r="F40" i="17"/>
  <c r="F41" i="17" a="1"/>
  <c r="F41" i="17" s="1"/>
  <c r="E7" i="17" a="1"/>
  <c r="E7" i="17"/>
  <c r="E8" i="17" a="1"/>
  <c r="E8" i="17" s="1"/>
  <c r="E9" i="17" a="1"/>
  <c r="E9" i="17"/>
  <c r="E10" i="17" a="1"/>
  <c r="E10" i="17" s="1"/>
  <c r="E11" i="17" a="1"/>
  <c r="E11" i="17" s="1"/>
  <c r="E12" i="17" a="1"/>
  <c r="E12" i="17" s="1"/>
  <c r="E13" i="17" a="1"/>
  <c r="E13" i="17" s="1"/>
  <c r="E14" i="17" a="1"/>
  <c r="E14" i="17" s="1"/>
  <c r="E15" i="17" a="1"/>
  <c r="E15" i="17" s="1"/>
  <c r="E16" i="17" a="1"/>
  <c r="E16" i="17" s="1"/>
  <c r="E17" i="17" a="1"/>
  <c r="E17" i="17" s="1"/>
  <c r="E18" i="17" a="1"/>
  <c r="E18" i="17" s="1"/>
  <c r="E19" i="17" a="1"/>
  <c r="E19" i="17" s="1"/>
  <c r="E20" i="17" a="1"/>
  <c r="E20" i="17" s="1"/>
  <c r="E21" i="17" a="1"/>
  <c r="E21" i="17" s="1"/>
  <c r="E22" i="17" a="1"/>
  <c r="E22" i="17" s="1"/>
  <c r="E23" i="17" a="1"/>
  <c r="E23" i="17" s="1"/>
  <c r="E24" i="17" a="1"/>
  <c r="E24" i="17" s="1"/>
  <c r="E25" i="17" a="1"/>
  <c r="E25" i="17" s="1"/>
  <c r="E26" i="17" a="1"/>
  <c r="E26" i="17" s="1"/>
  <c r="E27" i="17" a="1"/>
  <c r="E27" i="17" s="1"/>
  <c r="E28" i="17" a="1"/>
  <c r="E28" i="17"/>
  <c r="E29" i="17" a="1"/>
  <c r="E29" i="17" s="1"/>
  <c r="E30" i="17" a="1"/>
  <c r="E30" i="17" s="1"/>
  <c r="E31" i="17" a="1"/>
  <c r="E31" i="17" s="1"/>
  <c r="E32" i="17" a="1"/>
  <c r="E32" i="17" s="1"/>
  <c r="E33" i="17" a="1"/>
  <c r="E33" i="17" s="1"/>
  <c r="E34" i="17" a="1"/>
  <c r="E34" i="17"/>
  <c r="E35" i="17" a="1"/>
  <c r="E35" i="17" s="1"/>
  <c r="E36" i="17" a="1"/>
  <c r="E36" i="17" s="1"/>
  <c r="E37" i="17" a="1"/>
  <c r="E37" i="17" s="1"/>
  <c r="E38" i="17" a="1"/>
  <c r="E38" i="17" s="1"/>
  <c r="E39" i="17" a="1"/>
  <c r="E39" i="17" s="1"/>
  <c r="E40" i="17" a="1"/>
  <c r="E40" i="17" s="1"/>
  <c r="E41" i="17" a="1"/>
  <c r="E41" i="17" s="1"/>
  <c r="N7" i="17" a="1"/>
  <c r="N7" i="17" s="1"/>
  <c r="N8" i="17" a="1"/>
  <c r="N8" i="17" s="1"/>
  <c r="N9" i="17" a="1"/>
  <c r="N9" i="17" s="1"/>
  <c r="N10" i="17" a="1"/>
  <c r="N10" i="17" s="1"/>
  <c r="N11" i="17" a="1"/>
  <c r="N11" i="17" s="1"/>
  <c r="N12" i="17" a="1"/>
  <c r="N12" i="17" s="1"/>
  <c r="N13" i="17" a="1"/>
  <c r="N13" i="17"/>
  <c r="N14" i="17" a="1"/>
  <c r="N14" i="17" s="1"/>
  <c r="N15" i="17" a="1"/>
  <c r="N15" i="17" s="1"/>
  <c r="N16" i="17" a="1"/>
  <c r="N16" i="17" s="1"/>
  <c r="N17" i="17" a="1"/>
  <c r="N17" i="17"/>
  <c r="N18" i="17" a="1"/>
  <c r="N18" i="17" s="1"/>
  <c r="N19" i="17" a="1"/>
  <c r="N19" i="17"/>
  <c r="N20" i="17" a="1"/>
  <c r="N20" i="17" s="1"/>
  <c r="N21" i="17" a="1"/>
  <c r="N21" i="17" s="1"/>
  <c r="N22" i="17" a="1"/>
  <c r="N22" i="17" s="1"/>
  <c r="N23" i="17" a="1"/>
  <c r="N23" i="17" s="1"/>
  <c r="N24" i="17" a="1"/>
  <c r="N24" i="17" s="1"/>
  <c r="N25" i="17" a="1"/>
  <c r="N25" i="17" s="1"/>
  <c r="N26" i="17" a="1"/>
  <c r="N26" i="17" s="1"/>
  <c r="N27" i="17" a="1"/>
  <c r="N27" i="17" s="1"/>
  <c r="N28" i="17" a="1"/>
  <c r="N28" i="17" s="1"/>
  <c r="N29" i="17" a="1"/>
  <c r="N29" i="17"/>
  <c r="N30" i="17" a="1"/>
  <c r="N30" i="17" s="1"/>
  <c r="N31" i="17" a="1"/>
  <c r="N31" i="17" s="1"/>
  <c r="N32" i="17" a="1"/>
  <c r="N32" i="17" s="1"/>
  <c r="N33" i="17" a="1"/>
  <c r="N33" i="17" s="1"/>
  <c r="N34" i="17" a="1"/>
  <c r="N34" i="17" s="1"/>
  <c r="N35" i="17" a="1"/>
  <c r="N35" i="17" s="1"/>
  <c r="N36" i="17" a="1"/>
  <c r="N36" i="17" s="1"/>
  <c r="N37" i="17" a="1"/>
  <c r="N37" i="17" s="1"/>
  <c r="N38" i="17" a="1"/>
  <c r="N38" i="17" s="1"/>
  <c r="N39" i="17" a="1"/>
  <c r="N39" i="17" s="1"/>
  <c r="N40" i="17" a="1"/>
  <c r="N40" i="17" s="1"/>
  <c r="N41" i="17" a="1"/>
  <c r="N41" i="17" s="1"/>
  <c r="M14" i="17" a="1"/>
  <c r="M14" i="17"/>
  <c r="M13" i="17" a="1"/>
  <c r="M13" i="17" s="1"/>
  <c r="M12" i="17" a="1"/>
  <c r="M12" i="17" s="1"/>
  <c r="M11" i="17" a="1"/>
  <c r="M11" i="17" s="1"/>
  <c r="M10" i="17" a="1"/>
  <c r="M10" i="17" s="1"/>
  <c r="M9" i="17" a="1"/>
  <c r="M9" i="17" s="1"/>
  <c r="M8" i="17" a="1"/>
  <c r="M8" i="17" s="1"/>
  <c r="M7" i="17" a="1"/>
  <c r="M7" i="17" s="1"/>
  <c r="M15" i="17" a="1"/>
  <c r="M15" i="17" s="1"/>
  <c r="M16" i="17" a="1"/>
  <c r="M16" i="17" s="1"/>
  <c r="M17" i="17" a="1"/>
  <c r="M17" i="17" s="1"/>
  <c r="M18" i="17" a="1"/>
  <c r="M18" i="17" s="1"/>
  <c r="M19" i="17" a="1"/>
  <c r="M19" i="17" s="1"/>
  <c r="M20" i="17" a="1"/>
  <c r="M20" i="17" s="1"/>
  <c r="M21" i="17" a="1"/>
  <c r="M21" i="17"/>
  <c r="M22" i="17" a="1"/>
  <c r="M22" i="17"/>
  <c r="M23" i="17" a="1"/>
  <c r="M23" i="17" s="1"/>
  <c r="M24" i="17" a="1"/>
  <c r="M24" i="17" s="1"/>
  <c r="M25" i="17" a="1"/>
  <c r="M25" i="17"/>
  <c r="M26" i="17" a="1"/>
  <c r="M26" i="17" s="1"/>
  <c r="M27" i="17" a="1"/>
  <c r="M27" i="17" s="1"/>
  <c r="M28" i="17" a="1"/>
  <c r="M28" i="17"/>
  <c r="M29" i="17" a="1"/>
  <c r="M29" i="17" s="1"/>
  <c r="M30" i="17" a="1"/>
  <c r="M30" i="17" s="1"/>
  <c r="M31" i="17" a="1"/>
  <c r="M31" i="17" s="1"/>
  <c r="M32" i="17" a="1"/>
  <c r="M32" i="17" s="1"/>
  <c r="M33" i="17" a="1"/>
  <c r="M33" i="17"/>
  <c r="M34" i="17" a="1"/>
  <c r="M34" i="17" s="1"/>
  <c r="M35" i="17" a="1"/>
  <c r="M35" i="17" s="1"/>
  <c r="M36" i="17" a="1"/>
  <c r="M36" i="17" s="1"/>
  <c r="M37" i="17" a="1"/>
  <c r="M37" i="17"/>
  <c r="M38" i="17" a="1"/>
  <c r="M38" i="17" s="1"/>
  <c r="M39" i="17" a="1"/>
  <c r="M39" i="17"/>
  <c r="M40" i="17" a="1"/>
  <c r="M40" i="17" s="1"/>
  <c r="M41" i="17" a="1"/>
  <c r="M41" i="17" s="1"/>
  <c r="J17" i="17" a="1"/>
  <c r="J17" i="17"/>
  <c r="J16" i="17" a="1"/>
  <c r="J16" i="17"/>
  <c r="J15" i="17" a="1"/>
  <c r="J15" i="17" s="1"/>
  <c r="J14" i="17" a="1"/>
  <c r="J14" i="17"/>
  <c r="J13" i="17" a="1"/>
  <c r="J13" i="17" s="1"/>
  <c r="J12" i="17" a="1"/>
  <c r="J12" i="17" s="1"/>
  <c r="J11" i="17" a="1"/>
  <c r="J11" i="17"/>
  <c r="J10" i="17" a="1"/>
  <c r="J10" i="17" s="1"/>
  <c r="J9" i="17" a="1"/>
  <c r="J9" i="17" s="1"/>
  <c r="J8" i="17" a="1"/>
  <c r="J8" i="17" s="1"/>
  <c r="J7" i="17" a="1"/>
  <c r="J7" i="17" s="1"/>
  <c r="J18" i="17" a="1"/>
  <c r="J18" i="17" s="1"/>
  <c r="J19" i="17" a="1"/>
  <c r="J19" i="17" s="1"/>
  <c r="J20" i="17" a="1"/>
  <c r="J20" i="17" s="1"/>
  <c r="J21" i="17" a="1"/>
  <c r="J21" i="17" s="1"/>
  <c r="J22" i="17" a="1"/>
  <c r="J22" i="17" s="1"/>
  <c r="J23" i="17" a="1"/>
  <c r="J23" i="17" s="1"/>
  <c r="J24" i="17" a="1"/>
  <c r="J24" i="17" s="1"/>
  <c r="J25" i="17" a="1"/>
  <c r="J25" i="17" s="1"/>
  <c r="J26" i="17" a="1"/>
  <c r="J26" i="17" s="1"/>
  <c r="J27" i="17" a="1"/>
  <c r="J27" i="17" s="1"/>
  <c r="J28" i="17" a="1"/>
  <c r="J28" i="17" s="1"/>
  <c r="J29" i="17" a="1"/>
  <c r="J29" i="17" s="1"/>
  <c r="J30" i="17" a="1"/>
  <c r="J30" i="17" s="1"/>
  <c r="J31" i="17" a="1"/>
  <c r="J31" i="17" s="1"/>
  <c r="J32" i="17" a="1"/>
  <c r="J32" i="17" s="1"/>
  <c r="J33" i="17" a="1"/>
  <c r="J33" i="17" s="1"/>
  <c r="J34" i="17" a="1"/>
  <c r="J34" i="17" s="1"/>
  <c r="J35" i="17" a="1"/>
  <c r="J35" i="17" s="1"/>
  <c r="J36" i="17" a="1"/>
  <c r="J36" i="17" s="1"/>
  <c r="J37" i="17" a="1"/>
  <c r="J37" i="17" s="1"/>
  <c r="J38" i="17" a="1"/>
  <c r="J38" i="17" s="1"/>
  <c r="J39" i="17" a="1"/>
  <c r="J39" i="17" s="1"/>
  <c r="J40" i="17" a="1"/>
  <c r="J40" i="17" s="1"/>
  <c r="J41" i="17" a="1"/>
  <c r="J41" i="17" s="1"/>
  <c r="K7" i="17" a="1"/>
  <c r="K7" i="17" s="1"/>
  <c r="K8" i="17" a="1"/>
  <c r="K8" i="17" s="1"/>
  <c r="K9" i="17" a="1"/>
  <c r="K9" i="17" s="1"/>
  <c r="K10" i="17" a="1"/>
  <c r="K10" i="17"/>
  <c r="K11" i="17" a="1"/>
  <c r="K11" i="17" s="1"/>
  <c r="K12" i="17" a="1"/>
  <c r="K12" i="17"/>
  <c r="K13" i="17" a="1"/>
  <c r="K13" i="17" s="1"/>
  <c r="K14" i="17" a="1"/>
  <c r="K14" i="17" s="1"/>
  <c r="K15" i="17" a="1"/>
  <c r="K15" i="17" s="1"/>
  <c r="K16" i="17" a="1"/>
  <c r="K16" i="17" s="1"/>
  <c r="K17" i="17" a="1"/>
  <c r="K17" i="17" s="1"/>
  <c r="K18" i="17" a="1"/>
  <c r="K18" i="17"/>
  <c r="K19" i="17" a="1"/>
  <c r="K19" i="17"/>
  <c r="K20" i="17" a="1"/>
  <c r="K20" i="17" s="1"/>
  <c r="K21" i="17" a="1"/>
  <c r="K21" i="17"/>
  <c r="K22" i="17" a="1"/>
  <c r="K22" i="17" s="1"/>
  <c r="K23" i="17" a="1"/>
  <c r="K23" i="17" s="1"/>
  <c r="K24" i="17" a="1"/>
  <c r="K24" i="17" s="1"/>
  <c r="K25" i="17" a="1"/>
  <c r="K25" i="17"/>
  <c r="K26" i="17" a="1"/>
  <c r="K26" i="17" s="1"/>
  <c r="K27" i="17" a="1"/>
  <c r="K27" i="17" s="1"/>
  <c r="K28" i="17" a="1"/>
  <c r="K28" i="17"/>
  <c r="K29" i="17" a="1"/>
  <c r="K29" i="17" s="1"/>
  <c r="K30" i="17" a="1"/>
  <c r="K30" i="17"/>
  <c r="K31" i="17" a="1"/>
  <c r="K31" i="17" s="1"/>
  <c r="K32" i="17" a="1"/>
  <c r="K32" i="17" s="1"/>
  <c r="K33" i="17" a="1"/>
  <c r="K33" i="17"/>
  <c r="K34" i="17" a="1"/>
  <c r="K34" i="17" s="1"/>
  <c r="K35" i="17" a="1"/>
  <c r="K35" i="17" s="1"/>
  <c r="K36" i="17" a="1"/>
  <c r="K36" i="17" s="1"/>
  <c r="K37" i="17" a="1"/>
  <c r="K37" i="17" s="1"/>
  <c r="K38" i="17" a="1"/>
  <c r="K38" i="17" s="1"/>
  <c r="K39" i="17" a="1"/>
  <c r="K39" i="17"/>
  <c r="K40" i="17" a="1"/>
  <c r="K40" i="17" s="1"/>
  <c r="K41" i="17" a="1"/>
  <c r="K41" i="17" s="1"/>
  <c r="L8" i="17" a="1"/>
  <c r="L8" i="17" s="1"/>
  <c r="C8" i="17" s="1"/>
  <c r="L9" i="17" a="1"/>
  <c r="L9" i="17"/>
  <c r="C9" i="17" s="1"/>
  <c r="L10" i="17" a="1"/>
  <c r="L10" i="17" s="1"/>
  <c r="L11" i="17" a="1"/>
  <c r="L11" i="17" s="1"/>
  <c r="C11" i="17" s="1"/>
  <c r="L12" i="17" a="1"/>
  <c r="L12" i="17" s="1"/>
  <c r="L13" i="17" a="1"/>
  <c r="L13" i="17" s="1"/>
  <c r="L14" i="17" a="1"/>
  <c r="L14" i="17"/>
  <c r="C14" i="17" s="1"/>
  <c r="L15" i="17" a="1"/>
  <c r="L15" i="17" s="1"/>
  <c r="L16" i="17" a="1"/>
  <c r="L16" i="17"/>
  <c r="C16" i="17" s="1"/>
  <c r="L17" i="17" a="1"/>
  <c r="L17" i="17" s="1"/>
  <c r="C17" i="17" s="1"/>
  <c r="L18" i="17" a="1"/>
  <c r="L18" i="17"/>
  <c r="C18" i="17" s="1"/>
  <c r="L19" i="17" a="1"/>
  <c r="L19" i="17"/>
  <c r="C19" i="17" s="1"/>
  <c r="L20" i="17" a="1"/>
  <c r="L20" i="17" s="1"/>
  <c r="L21" i="17" a="1"/>
  <c r="L21" i="17"/>
  <c r="C21" i="17" s="1"/>
  <c r="L22" i="17" a="1"/>
  <c r="L22" i="17"/>
  <c r="C22" i="17" s="1"/>
  <c r="L23" i="17" a="1"/>
  <c r="L23" i="17" s="1"/>
  <c r="L24" i="17" a="1"/>
  <c r="L24" i="17"/>
  <c r="C24" i="17" s="1"/>
  <c r="L25" i="17" a="1"/>
  <c r="L25" i="17"/>
  <c r="C25" i="17" s="1"/>
  <c r="L26" i="17" a="1"/>
  <c r="L26" i="17" s="1"/>
  <c r="L27" i="17" a="1"/>
  <c r="L27" i="17"/>
  <c r="B27" i="17" s="1"/>
  <c r="L28" i="17" a="1"/>
  <c r="L28" i="17"/>
  <c r="C28" i="17" s="1"/>
  <c r="L29" i="17" a="1"/>
  <c r="L29" i="17" s="1"/>
  <c r="C29" i="17" s="1"/>
  <c r="L30" i="17" a="1"/>
  <c r="L30" i="17"/>
  <c r="C30" i="17" s="1"/>
  <c r="L31" i="17" a="1"/>
  <c r="L31" i="17" s="1"/>
  <c r="L32" i="17" a="1"/>
  <c r="L32" i="17"/>
  <c r="C32" i="17" s="1"/>
  <c r="L33" i="17" a="1"/>
  <c r="L33" i="17"/>
  <c r="L34" i="17" a="1"/>
  <c r="L34" i="17" s="1"/>
  <c r="L35" i="17" a="1"/>
  <c r="L35" i="17"/>
  <c r="C35" i="17" s="1"/>
  <c r="L36" i="17" a="1"/>
  <c r="L36" i="17"/>
  <c r="C36" i="17" s="1"/>
  <c r="L37" i="17" a="1"/>
  <c r="L37" i="17" s="1"/>
  <c r="L38" i="17" a="1"/>
  <c r="L38" i="17"/>
  <c r="C38" i="17" s="1"/>
  <c r="L39" i="17" a="1"/>
  <c r="L39" i="17"/>
  <c r="L40" i="17" a="1"/>
  <c r="L40" i="17" s="1"/>
  <c r="L41" i="17" a="1"/>
  <c r="L41" i="17"/>
  <c r="C41" i="17" s="1"/>
  <c r="I7" i="16"/>
  <c r="I8" i="16"/>
  <c r="I9" i="16"/>
  <c r="I10" i="16"/>
  <c r="I11" i="16"/>
  <c r="I12" i="16"/>
  <c r="I13" i="16"/>
  <c r="I14" i="16"/>
  <c r="I6" i="16"/>
  <c r="B12" i="15"/>
  <c r="B15" i="15"/>
  <c r="B21" i="15"/>
  <c r="K12" i="15"/>
  <c r="K11" i="15"/>
  <c r="K10" i="15"/>
  <c r="K9" i="15"/>
  <c r="K8" i="15"/>
  <c r="K7" i="15"/>
  <c r="K6" i="15"/>
  <c r="J7" i="15"/>
  <c r="B7" i="15" s="1"/>
  <c r="J8" i="15"/>
  <c r="B8" i="15" s="1"/>
  <c r="J9" i="15"/>
  <c r="B9" i="15" s="1"/>
  <c r="J10" i="15"/>
  <c r="B10" i="15" s="1"/>
  <c r="J11" i="15"/>
  <c r="B11" i="15" s="1"/>
  <c r="J12" i="15"/>
  <c r="J13" i="15"/>
  <c r="B13" i="15" s="1"/>
  <c r="J14" i="15"/>
  <c r="B14" i="15" s="1"/>
  <c r="J15" i="15"/>
  <c r="J16" i="15"/>
  <c r="B16" i="15" s="1"/>
  <c r="J17" i="15"/>
  <c r="B17" i="15" s="1"/>
  <c r="J18" i="15"/>
  <c r="B18" i="15" s="1"/>
  <c r="J19" i="15"/>
  <c r="B19" i="15" s="1"/>
  <c r="J20" i="15"/>
  <c r="B20" i="15" s="1"/>
  <c r="J21" i="15"/>
  <c r="J6" i="15"/>
  <c r="I21" i="15"/>
  <c r="I20" i="15"/>
  <c r="I19" i="15"/>
  <c r="I18" i="15"/>
  <c r="I17" i="15"/>
  <c r="I16" i="15"/>
  <c r="I15" i="15"/>
  <c r="I14" i="15"/>
  <c r="I13" i="15"/>
  <c r="I12" i="15"/>
  <c r="I11" i="15"/>
  <c r="K14" i="15"/>
  <c r="K15" i="15"/>
  <c r="K16" i="15"/>
  <c r="K17" i="15"/>
  <c r="K18" i="15"/>
  <c r="K19" i="15"/>
  <c r="K20" i="15"/>
  <c r="K21" i="15"/>
  <c r="K13" i="15"/>
  <c r="L7" i="14"/>
  <c r="L8" i="14"/>
  <c r="L9" i="14"/>
  <c r="L10" i="14"/>
  <c r="L11" i="14"/>
  <c r="L12" i="14"/>
  <c r="L13" i="14"/>
  <c r="K7" i="14"/>
  <c r="K8" i="14"/>
  <c r="K9" i="14"/>
  <c r="K10" i="14"/>
  <c r="K11" i="14"/>
  <c r="K12" i="14"/>
  <c r="K13" i="14"/>
  <c r="J13" i="14"/>
  <c r="B13" i="14" s="1"/>
  <c r="J12" i="14"/>
  <c r="B12" i="14" s="1"/>
  <c r="J11" i="14"/>
  <c r="B11" i="14" s="1"/>
  <c r="J10" i="14"/>
  <c r="B10" i="14" s="1"/>
  <c r="J9" i="14"/>
  <c r="B9" i="14" s="1"/>
  <c r="J8" i="14"/>
  <c r="B8" i="14" s="1"/>
  <c r="J7" i="14"/>
  <c r="B7" i="14" s="1"/>
  <c r="I7" i="14"/>
  <c r="I8" i="14"/>
  <c r="I9" i="14"/>
  <c r="I10" i="14"/>
  <c r="I11" i="14"/>
  <c r="I12" i="14"/>
  <c r="I13" i="14"/>
  <c r="A2" i="2" a="1"/>
  <c r="A2" i="2" s="1"/>
  <c r="J7" i="10"/>
  <c r="B7" i="10" s="1"/>
  <c r="J8" i="10"/>
  <c r="B8" i="10" s="1"/>
  <c r="M8" i="10"/>
  <c r="J9" i="10"/>
  <c r="B9" i="10" s="1"/>
  <c r="M9" i="10"/>
  <c r="J10" i="10"/>
  <c r="B10" i="10" s="1"/>
  <c r="M10" i="10"/>
  <c r="J11" i="10"/>
  <c r="B11" i="10" s="1"/>
  <c r="M11" i="10"/>
  <c r="J12" i="10"/>
  <c r="B12" i="10" s="1"/>
  <c r="M12" i="10"/>
  <c r="J13" i="10"/>
  <c r="B13" i="10" s="1"/>
  <c r="M13" i="10"/>
  <c r="J14" i="10"/>
  <c r="B14" i="10" s="1"/>
  <c r="M14" i="10"/>
  <c r="J15" i="10"/>
  <c r="B15" i="10" s="1"/>
  <c r="M15" i="10"/>
  <c r="J16" i="10"/>
  <c r="B16" i="10" s="1"/>
  <c r="M16" i="10"/>
  <c r="J17" i="10"/>
  <c r="B17" i="10" s="1"/>
  <c r="M17" i="10"/>
  <c r="J18" i="10"/>
  <c r="B18" i="10" s="1"/>
  <c r="M18" i="10"/>
  <c r="J19" i="10"/>
  <c r="B19" i="10" s="1"/>
  <c r="M19" i="10"/>
  <c r="J21" i="10"/>
  <c r="B21" i="10" s="1"/>
  <c r="M21" i="10"/>
  <c r="J20" i="10"/>
  <c r="B20" i="10" s="1"/>
  <c r="M20" i="10"/>
  <c r="J23" i="10"/>
  <c r="B23" i="10" s="1"/>
  <c r="M23" i="10"/>
  <c r="J22" i="10"/>
  <c r="B22" i="10" s="1"/>
  <c r="M22" i="10"/>
  <c r="J24" i="10"/>
  <c r="B24" i="10" s="1"/>
  <c r="M24" i="10"/>
  <c r="J25" i="10"/>
  <c r="B25" i="10" s="1"/>
  <c r="M25" i="10"/>
  <c r="J26" i="10"/>
  <c r="B26" i="10" s="1"/>
  <c r="M26" i="10"/>
  <c r="J27" i="10"/>
  <c r="B27" i="10" s="1"/>
  <c r="M27" i="10"/>
  <c r="J28" i="10"/>
  <c r="B28" i="10" s="1"/>
  <c r="M28" i="10"/>
  <c r="J29" i="10"/>
  <c r="B29" i="10" s="1"/>
  <c r="M29" i="10"/>
  <c r="J30" i="10"/>
  <c r="B30" i="10" s="1"/>
  <c r="M30" i="10"/>
  <c r="J31" i="10"/>
  <c r="B31" i="10" s="1"/>
  <c r="M31" i="10"/>
  <c r="J32" i="10"/>
  <c r="B32" i="10" s="1"/>
  <c r="M32" i="10"/>
  <c r="J33" i="10"/>
  <c r="B33" i="10" s="1"/>
  <c r="M33" i="10"/>
  <c r="J34" i="10"/>
  <c r="B34" i="10" s="1"/>
  <c r="M34" i="10"/>
  <c r="J35" i="10"/>
  <c r="B35" i="10" s="1"/>
  <c r="M35" i="10"/>
  <c r="J36" i="10"/>
  <c r="B36" i="10" s="1"/>
  <c r="M36" i="10"/>
  <c r="J37" i="10"/>
  <c r="B37" i="10" s="1"/>
  <c r="M37" i="10"/>
  <c r="J38" i="10"/>
  <c r="B38" i="10" s="1"/>
  <c r="M38" i="10"/>
  <c r="J39" i="10"/>
  <c r="B39" i="10" s="1"/>
  <c r="M39" i="10"/>
  <c r="J40" i="10"/>
  <c r="B40" i="10" s="1"/>
  <c r="M40" i="10"/>
  <c r="J41" i="10"/>
  <c r="B41" i="10" s="1"/>
  <c r="M41" i="10"/>
  <c r="J42" i="10"/>
  <c r="B42" i="10" s="1"/>
  <c r="M42" i="10"/>
  <c r="J43" i="10"/>
  <c r="B43" i="10" s="1"/>
  <c r="M43" i="10"/>
  <c r="J44" i="10"/>
  <c r="B44" i="10" s="1"/>
  <c r="M44" i="10"/>
  <c r="J45" i="10"/>
  <c r="B45" i="10" s="1"/>
  <c r="M45" i="10"/>
  <c r="J46" i="10"/>
  <c r="B46" i="10" s="1"/>
  <c r="M46" i="10"/>
  <c r="J47" i="10"/>
  <c r="B47" i="10" s="1"/>
  <c r="M47" i="10"/>
  <c r="J48" i="10"/>
  <c r="B48" i="10" s="1"/>
  <c r="M48" i="10"/>
  <c r="J49" i="10"/>
  <c r="B49" i="10" s="1"/>
  <c r="M49" i="10"/>
  <c r="J50" i="10"/>
  <c r="B50" i="10" s="1"/>
  <c r="M50" i="10"/>
  <c r="J51" i="10"/>
  <c r="B51" i="10" s="1"/>
  <c r="M51" i="10"/>
  <c r="J52" i="10"/>
  <c r="B52" i="10" s="1"/>
  <c r="M52" i="10"/>
  <c r="J53" i="10"/>
  <c r="B53" i="10" s="1"/>
  <c r="M53" i="10"/>
  <c r="J54" i="10"/>
  <c r="B54" i="10" s="1"/>
  <c r="M54" i="10"/>
  <c r="J55" i="10"/>
  <c r="B55" i="10" s="1"/>
  <c r="M55" i="10"/>
  <c r="J56" i="10"/>
  <c r="B56" i="10" s="1"/>
  <c r="M56" i="10"/>
  <c r="J57" i="10"/>
  <c r="B57" i="10" s="1"/>
  <c r="M57" i="10"/>
  <c r="J58" i="10"/>
  <c r="B58" i="10" s="1"/>
  <c r="M58" i="10"/>
  <c r="J59" i="10"/>
  <c r="B59" i="10" s="1"/>
  <c r="M59" i="10"/>
  <c r="A40" i="18" l="1"/>
  <c r="B31" i="18"/>
  <c r="A31" i="18" s="1"/>
  <c r="A39" i="18"/>
  <c r="A38" i="18"/>
  <c r="A37" i="18"/>
  <c r="A19" i="18"/>
  <c r="A7" i="18"/>
  <c r="A17" i="18"/>
  <c r="A15" i="18"/>
  <c r="A14" i="18"/>
  <c r="A25" i="18"/>
  <c r="A13" i="18"/>
  <c r="A24" i="18"/>
  <c r="A12" i="18"/>
  <c r="A21" i="18"/>
  <c r="A9" i="18"/>
  <c r="A20" i="18"/>
  <c r="A8" i="18"/>
  <c r="A18" i="18"/>
  <c r="A16" i="18"/>
  <c r="A23" i="18"/>
  <c r="A11" i="18"/>
  <c r="A22" i="18"/>
  <c r="A10" i="18"/>
  <c r="C31" i="17"/>
  <c r="B31" i="17"/>
  <c r="C37" i="17"/>
  <c r="B37" i="17"/>
  <c r="B15" i="17"/>
  <c r="C15" i="17"/>
  <c r="C23" i="17"/>
  <c r="B23" i="17"/>
  <c r="C13" i="17"/>
  <c r="B13" i="17"/>
  <c r="C20" i="17"/>
  <c r="B20" i="17"/>
  <c r="C12" i="17"/>
  <c r="B12" i="17"/>
  <c r="C34" i="17"/>
  <c r="B34" i="17"/>
  <c r="C26" i="17"/>
  <c r="B26" i="17"/>
  <c r="C10" i="17"/>
  <c r="B10" i="17"/>
  <c r="C40" i="17"/>
  <c r="B40" i="17"/>
  <c r="B30" i="17"/>
  <c r="B18" i="17"/>
  <c r="B21" i="17"/>
  <c r="B41" i="17"/>
  <c r="B29" i="17"/>
  <c r="B17" i="17"/>
  <c r="B28" i="17"/>
  <c r="B16" i="17"/>
  <c r="B38" i="17"/>
  <c r="B14" i="17"/>
  <c r="C27" i="17"/>
  <c r="B25" i="17"/>
  <c r="B36" i="17"/>
  <c r="B24" i="17"/>
  <c r="B35" i="17"/>
  <c r="B11" i="17"/>
  <c r="B22" i="17"/>
  <c r="B32" i="17"/>
  <c r="B8" i="17"/>
  <c r="B19" i="17"/>
  <c r="B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<sst xmlns="http://schemas.openxmlformats.org/spreadsheetml/2006/main" count="4268" uniqueCount="1436">
  <si>
    <t>機能名</t>
  </si>
  <si>
    <t>通信方向</t>
  </si>
  <si>
    <t>必要性</t>
  </si>
  <si>
    <t>設定ファイル根拠</t>
  </si>
  <si>
    <t>備考</t>
  </si>
  <si>
    <t>サービス名</t>
    <phoneticPr fontId="1"/>
  </si>
  <si>
    <t>通信用途</t>
    <phoneticPr fontId="1"/>
  </si>
  <si>
    <t>→</t>
    <phoneticPr fontId="1"/>
  </si>
  <si>
    <t>送信元：プロトコル</t>
    <rPh sb="0" eb="3">
      <t>ソウシンモト</t>
    </rPh>
    <phoneticPr fontId="1"/>
  </si>
  <si>
    <t>送信元：ポート番号</t>
    <phoneticPr fontId="1"/>
  </si>
  <si>
    <t>送信先：IP/Prefix</t>
    <rPh sb="2" eb="3">
      <t>サキ</t>
    </rPh>
    <phoneticPr fontId="1"/>
  </si>
  <si>
    <t>送信先：プロトコル</t>
    <rPh sb="0" eb="2">
      <t>ソウシン</t>
    </rPh>
    <rPh sb="2" eb="3">
      <t>サキ</t>
    </rPh>
    <phoneticPr fontId="1"/>
  </si>
  <si>
    <t>送信先：ポート番号</t>
    <rPh sb="2" eb="3">
      <t>サキ</t>
    </rPh>
    <phoneticPr fontId="1"/>
  </si>
  <si>
    <t>クライアント → サーバー</t>
    <phoneticPr fontId="1"/>
  </si>
  <si>
    <t>送信元：ホスト名</t>
    <rPh sb="7" eb="8">
      <t>メイ</t>
    </rPh>
    <phoneticPr fontId="1"/>
  </si>
  <si>
    <t>送信先：ホスト名</t>
    <rPh sb="2" eb="3">
      <t>サキ</t>
    </rPh>
    <rPh sb="7" eb="8">
      <t>メイ</t>
    </rPh>
    <phoneticPr fontId="1"/>
  </si>
  <si>
    <t>送信元：NIC名</t>
    <rPh sb="7" eb="8">
      <t>メイ</t>
    </rPh>
    <phoneticPr fontId="1"/>
  </si>
  <si>
    <t>enp0s9</t>
    <phoneticPr fontId="1"/>
  </si>
  <si>
    <t>送信先：NIC名</t>
    <rPh sb="2" eb="3">
      <t>サキ</t>
    </rPh>
    <rPh sb="7" eb="8">
      <t>メイ</t>
    </rPh>
    <phoneticPr fontId="1"/>
  </si>
  <si>
    <t>送信元：役割</t>
    <rPh sb="4" eb="6">
      <t>ヤクワリ</t>
    </rPh>
    <phoneticPr fontId="1"/>
  </si>
  <si>
    <t>送信先：役割</t>
    <rPh sb="2" eb="3">
      <t>サキ</t>
    </rPh>
    <rPh sb="4" eb="6">
      <t>ヤクワリ</t>
    </rPh>
    <phoneticPr fontId="1"/>
  </si>
  <si>
    <t>サーバー → クライアント</t>
    <phoneticPr fontId="1"/>
  </si>
  <si>
    <t>WEBサーバー</t>
  </si>
  <si>
    <t>APサーバー</t>
  </si>
  <si>
    <t>DBサーバー</t>
  </si>
  <si>
    <t>送信元：IP/Prefix</t>
    <rPh sb="2" eb="3">
      <t>モト</t>
    </rPh>
    <phoneticPr fontId="1"/>
  </si>
  <si>
    <t>enp0s9</t>
  </si>
  <si>
    <t>DHCPサーバー</t>
  </si>
  <si>
    <t>LBサーバー</t>
    <phoneticPr fontId="1"/>
  </si>
  <si>
    <t>No</t>
    <phoneticPr fontId="1"/>
  </si>
  <si>
    <t>タイムスタンプ</t>
    <phoneticPr fontId="1"/>
  </si>
  <si>
    <t>プロトコル(L3)</t>
    <phoneticPr fontId="1"/>
  </si>
  <si>
    <t>listening on enp0s9, link-type EN10MB (Ethernet), snapshot length 262144 bytes</t>
  </si>
  <si>
    <t>方向記号</t>
    <phoneticPr fontId="1"/>
  </si>
  <si>
    <t>パケットサイズ</t>
    <phoneticPr fontId="1"/>
  </si>
  <si>
    <t>dropped privs to tcpdump</t>
  </si>
  <si>
    <t>tcpdump: verbose output suppressed, use -v[v]... for full protocol decode</t>
  </si>
  <si>
    <t>tcpdump確認</t>
    <rPh sb="7" eb="9">
      <t>カクニン</t>
    </rPh>
    <phoneticPr fontId="1"/>
  </si>
  <si>
    <t>0 packets dropped by kernel</t>
  </si>
  <si>
    <t>6 packets captured</t>
  </si>
  <si>
    <t>6 packets received by filter</t>
  </si>
  <si>
    <t>送信先 IP</t>
    <phoneticPr fontId="1"/>
  </si>
  <si>
    <t>送信元 IP</t>
    <phoneticPr fontId="1"/>
  </si>
  <si>
    <t>TCPオプション</t>
    <phoneticPr fontId="1"/>
  </si>
  <si>
    <t>ICMP ID</t>
    <phoneticPr fontId="1"/>
  </si>
  <si>
    <t>ICMP</t>
    <phoneticPr fontId="1"/>
  </si>
  <si>
    <t>ICMPメッセージ</t>
    <phoneticPr fontId="1"/>
  </si>
  <si>
    <t>プロトコル(L4)</t>
    <phoneticPr fontId="1"/>
  </si>
  <si>
    <t>※tcpdumpで表示されるプロトコルはL3のプロトコルであるため、表記としては「IP」となる。</t>
    <phoneticPr fontId="1"/>
  </si>
  <si>
    <t>クライアント端末</t>
    <phoneticPr fontId="1"/>
  </si>
  <si>
    <t>ICMP</t>
    <phoneticPr fontId="1"/>
  </si>
  <si>
    <t>任意</t>
    <rPh sb="0" eb="2">
      <t>ニンイ</t>
    </rPh>
    <phoneticPr fontId="1"/>
  </si>
  <si>
    <t>通信確認済み(「ICMP」シート参照)</t>
    <phoneticPr fontId="1"/>
  </si>
  <si>
    <t>RFC792(ICMPプロトコル仕様)</t>
    <phoneticPr fontId="1"/>
  </si>
  <si>
    <t>RFC792参考：https://www.rfc-editor.org/rfc/rfc792</t>
    <phoneticPr fontId="1"/>
  </si>
  <si>
    <t>ネットワーク疎通確認(死活監視)</t>
    <rPh sb="11" eb="15">
      <t>シカツカンシ</t>
    </rPh>
    <phoneticPr fontId="1"/>
  </si>
  <si>
    <t>※「通信要件一覧」シートに戻る</t>
    <rPh sb="2" eb="4">
      <t>ツウシン</t>
    </rPh>
    <rPh sb="4" eb="6">
      <t>ヨウケン</t>
    </rPh>
    <rPh sb="6" eb="8">
      <t>イチラン</t>
    </rPh>
    <rPh sb="13" eb="14">
      <t>モド</t>
    </rPh>
    <phoneticPr fontId="1"/>
  </si>
  <si>
    <t>ICMPはポート不使用</t>
    <rPh sb="8" eb="11">
      <t>フシヨウ</t>
    </rPh>
    <phoneticPr fontId="1"/>
  </si>
  <si>
    <t>listening on enp0s8, link-type EN10MB (Ethernet), snapshot length 262144 bytes</t>
  </si>
  <si>
    <t>3 packets transmitted, 3 received, 0% packet loss, time 2076ms</t>
  </si>
  <si>
    <t>LBサーバー</t>
  </si>
  <si>
    <t>ルーター</t>
  </si>
  <si>
    <t>ルーター</t>
    <phoneticPr fontId="1"/>
  </si>
  <si>
    <t>DHCPサーバー</t>
    <phoneticPr fontId="1"/>
  </si>
  <si>
    <t>DNSサーバー</t>
  </si>
  <si>
    <t>DNSサーバー</t>
    <phoneticPr fontId="1"/>
  </si>
  <si>
    <t>NTPサーバー</t>
  </si>
  <si>
    <t>NTPサーバー</t>
    <phoneticPr fontId="1"/>
  </si>
  <si>
    <t>syslogサーバー</t>
  </si>
  <si>
    <t>syslogサーバー</t>
    <phoneticPr fontId="1"/>
  </si>
  <si>
    <t>enp0s8</t>
  </si>
  <si>
    <t>enp0s8</t>
    <phoneticPr fontId="1"/>
  </si>
  <si>
    <t>PING 8.8.8.8 (8.8.8.8) 56(84) bytes of data.</t>
  </si>
  <si>
    <t>--- 8.8.8.8 ping statistics ---</t>
  </si>
  <si>
    <t>3 packets transmitted, 3 received, 0% packet loss, time 2003ms</t>
  </si>
  <si>
    <t>listening on enp0s3, link-type EN10MB (Ethernet), snapshot length 262144 bytes</t>
  </si>
  <si>
    <t>クライアント → 外部インターネット</t>
    <rPh sb="9" eb="11">
      <t>ガイブ</t>
    </rPh>
    <phoneticPr fontId="1"/>
  </si>
  <si>
    <t>クライアント端末</t>
  </si>
  <si>
    <t>外部サーバー(Google パブリッククラウド)</t>
    <rPh sb="0" eb="2">
      <t>ガイブ</t>
    </rPh>
    <phoneticPr fontId="1"/>
  </si>
  <si>
    <t>未定義</t>
    <rPh sb="0" eb="3">
      <t>ミテイギ</t>
    </rPh>
    <phoneticPr fontId="1"/>
  </si>
  <si>
    <t>8.8.8.8/24</t>
  </si>
  <si>
    <t>8.8.8.8/24</t>
    <phoneticPr fontId="1"/>
  </si>
  <si>
    <t>Echo Request</t>
    <phoneticPr fontId="1"/>
  </si>
  <si>
    <t>Echo Reply</t>
    <phoneticPr fontId="1"/>
  </si>
  <si>
    <t>NAT変換</t>
    <rPh sb="3" eb="5">
      <t>ヘンカン</t>
    </rPh>
    <phoneticPr fontId="1"/>
  </si>
  <si>
    <t>無し(内部ルーティングのみ)</t>
    <rPh sb="0" eb="1">
      <t>ナ</t>
    </rPh>
    <rPh sb="3" eb="5">
      <t>ナイブ</t>
    </rPh>
    <phoneticPr fontId="1"/>
  </si>
  <si>
    <t>有り</t>
    <rPh sb="0" eb="1">
      <t>ア</t>
    </rPh>
    <phoneticPr fontId="1"/>
  </si>
  <si>
    <t>8 packets received by filter</t>
  </si>
  <si>
    <t>listening on enp0s10, link-type EN10MB (Ethernet), snapshot length 262144 bytes</t>
  </si>
  <si>
    <t>■外部(NAT)ルーティング作業証跡(各サーバーから8.8.8.8に対してpingを実行。外部ネットワークへの通信はNATアダプターを利用するので、NATアダプターと各セグメント用NICでtcpdumpを実行。)</t>
    <rPh sb="1" eb="3">
      <t>ガイブ</t>
    </rPh>
    <rPh sb="14" eb="16">
      <t>サギョウ</t>
    </rPh>
    <rPh sb="16" eb="18">
      <t>ショウセキ</t>
    </rPh>
    <rPh sb="19" eb="20">
      <t>カク</t>
    </rPh>
    <rPh sb="34" eb="35">
      <t>タイ</t>
    </rPh>
    <rPh sb="42" eb="44">
      <t>ジッコウ</t>
    </rPh>
    <rPh sb="45" eb="47">
      <t>ガイブ</t>
    </rPh>
    <rPh sb="67" eb="69">
      <t>リヨウ</t>
    </rPh>
    <rPh sb="83" eb="84">
      <t>カク</t>
    </rPh>
    <rPh sb="89" eb="90">
      <t>ヨウ</t>
    </rPh>
    <rPh sb="102" eb="104">
      <t>ジッコウ</t>
    </rPh>
    <phoneticPr fontId="1"/>
  </si>
  <si>
    <t>外部インターネット → クライアント</t>
    <phoneticPr fontId="1"/>
  </si>
  <si>
    <t>貼り付けデータ</t>
    <rPh sb="0" eb="1">
      <t>ハ</t>
    </rPh>
    <rPh sb="2" eb="3">
      <t>ツ</t>
    </rPh>
    <phoneticPr fontId="1"/>
  </si>
  <si>
    <t>行き/返り</t>
    <rPh sb="0" eb="1">
      <t>ユ</t>
    </rPh>
    <rPh sb="3" eb="4">
      <t>カエ</t>
    </rPh>
    <phoneticPr fontId="1"/>
  </si>
  <si>
    <t>■tcpdump実行結果(サマリ)</t>
    <rPh sb="8" eb="12">
      <t>ジッコウケッカ</t>
    </rPh>
    <phoneticPr fontId="1"/>
  </si>
  <si>
    <t>本シートに登場する「内部ルーティング作業証跡」と「外部(NAT)ルーティング作業証跡」の青字部分を以下の表で整理している。</t>
    <rPh sb="0" eb="1">
      <t>ホン</t>
    </rPh>
    <rPh sb="5" eb="7">
      <t>トウジョウ</t>
    </rPh>
    <rPh sb="10" eb="12">
      <t>ナイブ</t>
    </rPh>
    <rPh sb="44" eb="46">
      <t>アオジ</t>
    </rPh>
    <rPh sb="46" eb="48">
      <t>ブブン</t>
    </rPh>
    <rPh sb="49" eb="51">
      <t>イカ</t>
    </rPh>
    <rPh sb="52" eb="53">
      <t>ヒョウ</t>
    </rPh>
    <rPh sb="54" eb="56">
      <t>セイリ</t>
    </rPh>
    <phoneticPr fontId="1"/>
  </si>
  <si>
    <t>証跡から青字部分を貼り付けデータ欄に添付し、関数により各項目を抽出している。</t>
    <rPh sb="0" eb="2">
      <t>ショウセキ</t>
    </rPh>
    <rPh sb="18" eb="20">
      <t>テンプ</t>
    </rPh>
    <rPh sb="22" eb="24">
      <t>カンスウ</t>
    </rPh>
    <rPh sb="27" eb="28">
      <t>カク</t>
    </rPh>
    <rPh sb="28" eb="30">
      <t>コウモク</t>
    </rPh>
    <rPh sb="31" eb="33">
      <t>チュウシュツ</t>
    </rPh>
    <phoneticPr fontId="1"/>
  </si>
  <si>
    <t>径路(L3パス)</t>
    <rPh sb="0" eb="2">
      <t>ケイロ</t>
    </rPh>
    <phoneticPr fontId="1"/>
  </si>
  <si>
    <t>直結</t>
    <rPh sb="0" eb="2">
      <t>チョッケツ</t>
    </rPh>
    <phoneticPr fontId="1"/>
  </si>
  <si>
    <t>DHCP</t>
    <phoneticPr fontId="1"/>
  </si>
  <si>
    <t>IPv4クライアント要求</t>
    <phoneticPr fontId="1"/>
  </si>
  <si>
    <t>IPアドレス取得要求</t>
    <phoneticPr fontId="1"/>
  </si>
  <si>
    <t>192.168.100.15/24</t>
    <phoneticPr fontId="1"/>
  </si>
  <si>
    <t>UDP</t>
    <phoneticPr fontId="1"/>
  </si>
  <si>
    <t>必須</t>
    <rPh sb="0" eb="2">
      <t>ヒッス</t>
    </rPh>
    <phoneticPr fontId="1"/>
  </si>
  <si>
    <t>RFC2131</t>
    <phoneticPr fontId="1"/>
  </si>
  <si>
    <t>通信確認済み(「DHCP」シート参照)</t>
    <phoneticPr fontId="1"/>
  </si>
  <si>
    <t>RFC2131参考：https://www.rfc-editor.org/rfc/rfc2131</t>
    <rPh sb="7" eb="9">
      <t>サンコウ</t>
    </rPh>
    <phoneticPr fontId="1"/>
  </si>
  <si>
    <t>WEBサーバー</t>
    <phoneticPr fontId="1"/>
  </si>
  <si>
    <t>192.168.100.16/24</t>
    <phoneticPr fontId="1"/>
  </si>
  <si>
    <t>APサーバー</t>
    <phoneticPr fontId="1"/>
  </si>
  <si>
    <t>192.168.100.17/24</t>
    <phoneticPr fontId="1"/>
  </si>
  <si>
    <t>DBサーバー</t>
    <phoneticPr fontId="1"/>
  </si>
  <si>
    <t>192.168.100.18/24</t>
    <phoneticPr fontId="1"/>
  </si>
  <si>
    <t>IPv4アドレス配布</t>
    <phoneticPr fontId="1"/>
  </si>
  <si>
    <t>IPアドレス割り当て</t>
    <phoneticPr fontId="1"/>
  </si>
  <si>
    <t>192.168.100.15/24</t>
  </si>
  <si>
    <t>UDP</t>
  </si>
  <si>
    <t>RFC2131(DHCPプロトコル仕様)
kea-dhcp4.conf</t>
    <phoneticPr fontId="1"/>
  </si>
  <si>
    <t>RFC2131参考：https://www.rfc-editor.org/rfc/rfc2131</t>
    <phoneticPr fontId="1"/>
  </si>
  <si>
    <t>192.168.100.16/24</t>
  </si>
  <si>
    <t>192.168.100.17/24</t>
  </si>
  <si>
    <t>192.168.100.18/24</t>
  </si>
  <si>
    <t>送信元 IP + ポート</t>
    <phoneticPr fontId="1"/>
  </si>
  <si>
    <t>送信先 IP + ポート</t>
    <phoneticPr fontId="1"/>
  </si>
  <si>
    <t>プロトコル種別</t>
    <rPh sb="5" eb="7">
      <t>シュベツ</t>
    </rPh>
    <phoneticPr fontId="1"/>
  </si>
  <si>
    <t>DHCPメッセージ種別</t>
    <rPh sb="9" eb="11">
      <t>シュベツ</t>
    </rPh>
    <phoneticPr fontId="1"/>
  </si>
  <si>
    <t>クライアント MAC</t>
    <phoneticPr fontId="1"/>
  </si>
  <si>
    <t>※tcpdumpで表示されるプロトコルはL3のプロトコルであるため、表記としては「IP」となる。UDPはL4(トランスポート層)のプロトコル。</t>
    <phoneticPr fontId="1"/>
  </si>
  <si>
    <t xml:space="preserve">   bootpc(BOOTP clientの略)はポート番号68を表し、bootps(BOOTP serverの略)はポート番号67を表す。</t>
    <phoneticPr fontId="1"/>
  </si>
  <si>
    <t xml:space="preserve">   tcpdumpコマンドで-nオプションを付けているので本来はそれぞれ「68」と「67」と出るが、tcpdumpの仕様上、DHCPの応答側はそれぞれ「bootpc」「bootps」 と表示されることがある。</t>
    <phoneticPr fontId="1"/>
  </si>
  <si>
    <t>jump-test</t>
    <phoneticPr fontId="1"/>
  </si>
  <si>
    <t>dns-test</t>
    <phoneticPr fontId="1"/>
  </si>
  <si>
    <t>ntp-test</t>
    <phoneticPr fontId="1"/>
  </si>
  <si>
    <t>syslog-test</t>
    <phoneticPr fontId="1"/>
  </si>
  <si>
    <t>jump-test</t>
  </si>
  <si>
    <t>dns-test</t>
  </si>
  <si>
    <t>ntp-test</t>
  </si>
  <si>
    <t>syslog-test</t>
  </si>
  <si>
    <t>無し(内部ルーティングのみ)</t>
  </si>
  <si>
    <t>無し(内部ルーティングのみ)</t>
    <phoneticPr fontId="1"/>
  </si>
  <si>
    <t>直結</t>
  </si>
  <si>
    <t>直結</t>
    <phoneticPr fontId="1"/>
  </si>
  <si>
    <t>dhcp-test</t>
  </si>
  <si>
    <t>dhcp-test</t>
    <phoneticPr fontId="1"/>
  </si>
  <si>
    <t>192.168.100.27/24</t>
  </si>
  <si>
    <t>192.168.100.27/24</t>
    <phoneticPr fontId="1"/>
  </si>
  <si>
    <t>踏み台サーバー</t>
    <rPh sb="0" eb="1">
      <t>フ</t>
    </rPh>
    <rPh sb="2" eb="3">
      <t>ダイ</t>
    </rPh>
    <phoneticPr fontId="1"/>
  </si>
  <si>
    <t>NTPバージョン</t>
    <phoneticPr fontId="1"/>
  </si>
  <si>
    <t xml:space="preserve">   ntpはポート番号123を表す。tcpdumpコマンドで-nオプションを付けているので本来は「123」と出るが、tcpdumpの仕様上、NTPの応答側は「ntp」 と表示されることがある。</t>
    <phoneticPr fontId="1"/>
  </si>
  <si>
    <t>syslog ヘッダ</t>
    <phoneticPr fontId="1"/>
  </si>
  <si>
    <t xml:space="preserve">   syslogはポート番号514を表す。tcpdumpコマンドで-nオプションを付けているので本来は「514」と出るが、tcpdumpの仕様上、rsyslogの応答側は「syslog」 と表示されることがある。</t>
    <phoneticPr fontId="1"/>
  </si>
  <si>
    <t>DNS トランザクション ID</t>
    <phoneticPr fontId="1"/>
  </si>
  <si>
    <t>DNS フラグ</t>
    <phoneticPr fontId="1"/>
  </si>
  <si>
    <t>レコード問い合わせ</t>
    <rPh sb="4" eb="5">
      <t>ト</t>
    </rPh>
    <rPh sb="6" eb="7">
      <t>ア</t>
    </rPh>
    <phoneticPr fontId="1"/>
  </si>
  <si>
    <t>※tcpdumpで表示されるプロトコルはL3のプロトコルであるため、表記としては「IP」となる。TCP/UDPはL4(トランスポート層)のプロトコル。</t>
    <phoneticPr fontId="1"/>
  </si>
  <si>
    <t xml:space="preserve">   domainはポート番号53を表す。tcpdumpコマンドで-nオプションを付けているので本来は「53」と出るが、tcpdumpの仕様上、DNSの応答側は「domain」 と表示されることがある。</t>
    <phoneticPr fontId="1"/>
  </si>
  <si>
    <t>8 packets captured</t>
  </si>
  <si>
    <t>TCPフラグ(Flags)</t>
    <phoneticPr fontId="1"/>
  </si>
  <si>
    <t>シーケンス番号(seq)</t>
    <rPh sb="5" eb="7">
      <t>バンゴウ</t>
    </rPh>
    <phoneticPr fontId="1"/>
  </si>
  <si>
    <t>ACK番号</t>
    <rPh sb="3" eb="5">
      <t>バンゴウ</t>
    </rPh>
    <phoneticPr fontId="1"/>
  </si>
  <si>
    <t>ウィンドウサイズ</t>
    <phoneticPr fontId="1"/>
  </si>
  <si>
    <t>TCP オプション</t>
    <phoneticPr fontId="1"/>
  </si>
  <si>
    <t>10 packets captured</t>
  </si>
  <si>
    <t>10 packets received by filter</t>
  </si>
  <si>
    <t>■作業証跡(ap-devでcurlによるhttp通信(db-check)を実行)</t>
    <rPh sb="1" eb="3">
      <t>サギョウ</t>
    </rPh>
    <rPh sb="3" eb="5">
      <t>ショウセキ</t>
    </rPh>
    <rPh sb="24" eb="26">
      <t>ツウシン</t>
    </rPh>
    <rPh sb="37" eb="39">
      <t>ジッコウ</t>
    </rPh>
    <phoneticPr fontId="1"/>
  </si>
  <si>
    <t>NTP</t>
    <phoneticPr fontId="1"/>
  </si>
  <si>
    <t>NTP時刻同期要求</t>
    <phoneticPr fontId="1"/>
  </si>
  <si>
    <t>時刻情報取得</t>
    <phoneticPr fontId="1"/>
  </si>
  <si>
    <t>クライアント → サーバー</t>
  </si>
  <si>
    <t>任意(エフェメラルポート)</t>
    <phoneticPr fontId="1"/>
  </si>
  <si>
    <t>→</t>
  </si>
  <si>
    <t>RFC5905(NTPv4 仕様)
chrony.conf</t>
    <phoneticPr fontId="1"/>
  </si>
  <si>
    <t>通信確認済み(「NTP」シート参照)</t>
    <phoneticPr fontId="1"/>
  </si>
  <si>
    <t>RFC5905参考：https://www.rfc-editor.org/rfc/rfc5905</t>
    <rPh sb="7" eb="9">
      <t>サンコウ</t>
    </rPh>
    <phoneticPr fontId="1"/>
  </si>
  <si>
    <t>NTP時刻情報提供</t>
    <phoneticPr fontId="1"/>
  </si>
  <si>
    <t>時刻情報配布</t>
    <rPh sb="4" eb="6">
      <t>ハイフ</t>
    </rPh>
    <phoneticPr fontId="1"/>
  </si>
  <si>
    <t>サーバー → クライアント</t>
  </si>
  <si>
    <t>router-test</t>
  </si>
  <si>
    <t>lb-test</t>
  </si>
  <si>
    <t>web-test</t>
  </si>
  <si>
    <t>ap-test</t>
  </si>
  <si>
    <t>db-test</t>
  </si>
  <si>
    <t>192.168.100.26/24</t>
  </si>
  <si>
    <t>192.168.100.26/24</t>
    <phoneticPr fontId="1"/>
  </si>
  <si>
    <t>192.168.100.28/24</t>
  </si>
  <si>
    <t>192.168.100.28/24</t>
    <phoneticPr fontId="1"/>
  </si>
  <si>
    <t>192.168.100.29/24</t>
  </si>
  <si>
    <t>192.168.100.29/24</t>
    <phoneticPr fontId="1"/>
  </si>
  <si>
    <t>192.168.100.30/24</t>
  </si>
  <si>
    <t>192.168.100.30/24</t>
    <phoneticPr fontId="1"/>
  </si>
  <si>
    <t>192.168.100.31/24</t>
  </si>
  <si>
    <t>192.168.100.31/24</t>
    <phoneticPr fontId="1"/>
  </si>
  <si>
    <t>192.168.110.8/24</t>
  </si>
  <si>
    <t>192.168.110.8/24</t>
    <phoneticPr fontId="1"/>
  </si>
  <si>
    <t>192.168.110.9/24</t>
  </si>
  <si>
    <t>192.168.110.9/24</t>
    <phoneticPr fontId="1"/>
  </si>
  <si>
    <t>192.168.110.10/24</t>
  </si>
  <si>
    <t>192.168.110.10/24</t>
    <phoneticPr fontId="1"/>
  </si>
  <si>
    <t>192.168.120.7/24</t>
  </si>
  <si>
    <t>192.168.120.7/24</t>
    <phoneticPr fontId="1"/>
  </si>
  <si>
    <t>無し(内部ルーティングのみ)</t>
    <phoneticPr fontId="1"/>
  </si>
  <si>
    <t>直結</t>
    <phoneticPr fontId="1"/>
  </si>
  <si>
    <t>router-test経由</t>
  </si>
  <si>
    <t>router-test経由</t>
    <phoneticPr fontId="1"/>
  </si>
  <si>
    <t>RFC5905参考：https://www.rfc-editor.org/rfc/rfc5905</t>
    <phoneticPr fontId="1"/>
  </si>
  <si>
    <t>rsyslog</t>
    <phoneticPr fontId="1"/>
  </si>
  <si>
    <t>rsyslogログ転送</t>
    <phoneticPr fontId="1"/>
  </si>
  <si>
    <t>ログデータ送信</t>
    <rPh sb="5" eb="7">
      <t>ソウシン</t>
    </rPh>
    <phoneticPr fontId="1"/>
  </si>
  <si>
    <t>任意(エフェメラルポート)</t>
    <rPh sb="0" eb="2">
      <t>ニンイ</t>
    </rPh>
    <phoneticPr fontId="1"/>
  </si>
  <si>
    <t>rsyslogサーバー</t>
    <phoneticPr fontId="1"/>
  </si>
  <si>
    <t>RFC5426(syslog over UDP 仕様)
rsyslog.conf
99-remote.conf</t>
    <phoneticPr fontId="1"/>
  </si>
  <si>
    <t>通信確認済み(「rsyslog」シート参照)</t>
    <phoneticPr fontId="1"/>
  </si>
  <si>
    <t>RFC5426参考：https://www.rfc-editor.org/rfc/rfc5426</t>
    <phoneticPr fontId="1"/>
  </si>
  <si>
    <t>踏み台サーバー</t>
    <phoneticPr fontId="1"/>
  </si>
  <si>
    <t>lb-test</t>
    <phoneticPr fontId="1"/>
  </si>
  <si>
    <t>web-test</t>
    <phoneticPr fontId="1"/>
  </si>
  <si>
    <t>ap-test</t>
    <phoneticPr fontId="1"/>
  </si>
  <si>
    <t>db-test</t>
    <phoneticPr fontId="1"/>
  </si>
  <si>
    <t>DNS</t>
    <phoneticPr fontId="1"/>
  </si>
  <si>
    <t>DNS名前解決要求</t>
    <phoneticPr fontId="1"/>
  </si>
  <si>
    <t>名前解決問い合わせ</t>
    <phoneticPr fontId="1"/>
  </si>
  <si>
    <t>TCP/UDP</t>
    <phoneticPr fontId="1"/>
  </si>
  <si>
    <t>RFC1034/RFC1035
resolv.conf
named.conf</t>
    <phoneticPr fontId="1"/>
  </si>
  <si>
    <t>通信確認済み(「DNS」シート参照)</t>
    <rPh sb="0" eb="2">
      <t>ツウシン</t>
    </rPh>
    <rPh sb="2" eb="4">
      <t>カクニン</t>
    </rPh>
    <rPh sb="4" eb="5">
      <t>ズ</t>
    </rPh>
    <rPh sb="15" eb="17">
      <t>サンショウ</t>
    </rPh>
    <phoneticPr fontId="1"/>
  </si>
  <si>
    <t>RFC1034参考：https://www.rfc-editor.org/rfc/rfc1034
RFC1035参考：https://www.rfc-editor.org/rfc/rfc1035</t>
    <phoneticPr fontId="1"/>
  </si>
  <si>
    <t>DNS名前解決応答</t>
    <rPh sb="7" eb="9">
      <t>オウトウ</t>
    </rPh>
    <phoneticPr fontId="1"/>
  </si>
  <si>
    <t>名前解決結果返却</t>
    <rPh sb="4" eb="6">
      <t>ケッカ</t>
    </rPh>
    <rPh sb="6" eb="8">
      <t>ヘンキャク</t>
    </rPh>
    <phoneticPr fontId="1"/>
  </si>
  <si>
    <t>RFC1034/RFC1035
named.conf
example.com.zone
100.168.192.rev</t>
    <phoneticPr fontId="1"/>
  </si>
  <si>
    <t>RFC1034/RFC1035
named.conf
example.com.zone
110.168.192.rev</t>
    <phoneticPr fontId="1"/>
  </si>
  <si>
    <t>RFC1034/RFC1035
named.conf
example.com.zone
120.168.192.rev</t>
    <phoneticPr fontId="1"/>
  </si>
  <si>
    <t>LB</t>
    <phoneticPr fontId="1"/>
  </si>
  <si>
    <t>HTTPS受付</t>
    <phoneticPr fontId="1"/>
  </si>
  <si>
    <t>クライアント要求受信</t>
    <phoneticPr fontId="1"/>
  </si>
  <si>
    <t>クライアント端末</t>
    <rPh sb="6" eb="8">
      <t>タンマツ</t>
    </rPh>
    <phoneticPr fontId="1"/>
  </si>
  <si>
    <t>TCP</t>
    <phoneticPr fontId="1"/>
  </si>
  <si>
    <t>RFC7230参考：https://www.rfc-editor.org/rfc/rfc7230
RFC8446参考：https://www.rfc-editor.org/rfc/rfc8446</t>
    <phoneticPr fontId="1"/>
  </si>
  <si>
    <t>バックエンド転送</t>
    <phoneticPr fontId="1"/>
  </si>
  <si>
    <t>WEBサーバーへのリクエスト転送</t>
    <phoneticPr fontId="1"/>
  </si>
  <si>
    <t>RFC7230(HTTP/1.1)
haproxy.cfg</t>
    <phoneticPr fontId="1"/>
  </si>
  <si>
    <t>RFC7230参考：https://www.rfc-editor.org/rfc/rfc7230</t>
    <phoneticPr fontId="1"/>
  </si>
  <si>
    <t>バックエンド応答</t>
    <phoneticPr fontId="1"/>
  </si>
  <si>
    <t>WEBサーバーからの応答返却</t>
    <phoneticPr fontId="1"/>
  </si>
  <si>
    <t>通信確認済み(「LB」シート参照)</t>
  </si>
  <si>
    <t>RFC7230(HTTP/1.1)/RFC8446(TLS 1.3)
haproxy.cfg</t>
  </si>
  <si>
    <t>TCP</t>
  </si>
  <si>
    <t>RFC7230参考：https://www.rfc-editor.org/rfc/rfc7230</t>
  </si>
  <si>
    <t>AP</t>
    <phoneticPr fontId="1"/>
  </si>
  <si>
    <t>API要求</t>
    <phoneticPr fontId="1"/>
  </si>
  <si>
    <t>アプリケーション処理要求</t>
    <phoneticPr fontId="1"/>
  </si>
  <si>
    <t>RFC7230(HTTP/1.1)
main.py(FastAPI アプリケーション)</t>
    <phoneticPr fontId="1"/>
  </si>
  <si>
    <t>通信確認済み(「AP」シート参照)</t>
    <phoneticPr fontId="1"/>
  </si>
  <si>
    <t>API応答</t>
    <phoneticPr fontId="1"/>
  </si>
  <si>
    <t>アプリケーション処理結果返却</t>
    <phoneticPr fontId="1"/>
  </si>
  <si>
    <t>DB</t>
    <phoneticPr fontId="1"/>
  </si>
  <si>
    <t>DB要求</t>
    <phoneticPr fontId="1"/>
  </si>
  <si>
    <t>SQL実行要求</t>
    <rPh sb="3" eb="5">
      <t>ジッコウ</t>
    </rPh>
    <phoneticPr fontId="1"/>
  </si>
  <si>
    <t>postgresql.conf
pg_hba.conf</t>
    <phoneticPr fontId="1"/>
  </si>
  <si>
    <t>通信確認済み(「DB」シート参照)</t>
    <phoneticPr fontId="1"/>
  </si>
  <si>
    <t>RFCなし(PostgreSQL 独自プロトコル)</t>
    <phoneticPr fontId="1"/>
  </si>
  <si>
    <t>DB応答</t>
    <rPh sb="2" eb="4">
      <t>オウトウ</t>
    </rPh>
    <phoneticPr fontId="1"/>
  </si>
  <si>
    <t>SQL実行結果返却</t>
    <phoneticPr fontId="1"/>
  </si>
  <si>
    <t>router-test+NAT経由</t>
  </si>
  <si>
    <t>■クライアント側作業ログ_NICを再起動</t>
    <rPh sb="8" eb="10">
      <t>サギョウ</t>
    </rPh>
    <phoneticPr fontId="1"/>
  </si>
  <si>
    <t>■サーバー側作業ログ_tcpdump取得</t>
    <rPh sb="5" eb="6">
      <t>ガワ</t>
    </rPh>
    <rPh sb="6" eb="8">
      <t>サギョウ</t>
    </rPh>
    <rPh sb="18" eb="20">
      <t>シュトク</t>
    </rPh>
    <phoneticPr fontId="1"/>
  </si>
  <si>
    <t>Connection 'enp0s9' successfully deactivated (D-Bus active path: /org/freedesktop/NetworkManager/ActiveConnection/3)</t>
  </si>
  <si>
    <t>[root@jump-test ~]#</t>
  </si>
  <si>
    <t>[root@jump-test ~]# nmcli connection up enp0s9</t>
  </si>
  <si>
    <t>Connection successfully activated (D-Bus active path: /org/freedesktop/NetworkManager/ActiveConnection/4)</t>
  </si>
  <si>
    <t>[root@jump-test ~]# nmcli connection down enp0s9</t>
    <phoneticPr fontId="1"/>
  </si>
  <si>
    <t>○jump-test</t>
    <phoneticPr fontId="1"/>
  </si>
  <si>
    <t xml:space="preserve">   通信の挙動としてはRequestとAckのみであるが、DHCPサーバー1台が同一セグメント内にある各クライアントと直結しているため、問題ない。</t>
    <rPh sb="3" eb="5">
      <t>ツウシン</t>
    </rPh>
    <rPh sb="6" eb="8">
      <t>キョドウ</t>
    </rPh>
    <rPh sb="39" eb="40">
      <t>ダイ</t>
    </rPh>
    <rPh sb="52" eb="53">
      <t>カク</t>
    </rPh>
    <rPh sb="60" eb="62">
      <t>チョッケツ</t>
    </rPh>
    <rPh sb="69" eb="71">
      <t>モンダイ</t>
    </rPh>
    <phoneticPr fontId="1"/>
  </si>
  <si>
    <t>[root@dns-test ~]# nmcli connection down enp0s9</t>
  </si>
  <si>
    <t>Connection 'enp0s9' successfully deactivated (D-Bus active path: /org/freedesktop/NetworkManager/ActiveConnection/2)</t>
  </si>
  <si>
    <t>[root@dns-test ~]#</t>
  </si>
  <si>
    <t>[root@dns-test ~]# nmcli connection up enp0s9</t>
  </si>
  <si>
    <t>Connection successfully activated (D-Bus active path: /org/freedesktop/NetworkManager/ActiveConnection/3)</t>
  </si>
  <si>
    <t>○dns-test</t>
    <phoneticPr fontId="1"/>
  </si>
  <si>
    <t>[root@ntp-test ~]# nmcli connection down enp0s9</t>
  </si>
  <si>
    <t>[root@ntp-test ~]#</t>
  </si>
  <si>
    <t>[root@ntp-test ~]# nmcli connection up enp0s9</t>
  </si>
  <si>
    <t>○ntp-test</t>
    <phoneticPr fontId="1"/>
  </si>
  <si>
    <t>[root@syslog-test ~]#</t>
  </si>
  <si>
    <t>[root@syslog-test ~]# nmcli connection up enp0s9</t>
  </si>
  <si>
    <t>[root@syslog-test ~]# nmcli connection down enp0s9</t>
    <phoneticPr fontId="1"/>
  </si>
  <si>
    <t>○syslog-test</t>
    <phoneticPr fontId="1"/>
  </si>
  <si>
    <t>[root@dhcp-test ~]# tcpdump -i enp0s9 '(port 67 or port 68)' -n</t>
  </si>
  <si>
    <t>[ 9128.202192] e1000 0000:00:09.0 enp0s9: entered promiscuous mode</t>
  </si>
  <si>
    <t>06:08:24.454091 IP 0.0.0.0.bootpc &gt; 255.255.255.255.bootps: BOOTP/DHCP, Request from 08:00:27:85:23:1c, length 293</t>
  </si>
  <si>
    <t>06:08:24.543735 IP 192.168.100.27.bootps &gt; 192.168.100.28.bootpc: BOOTP/DHCP, Reply, length 301</t>
  </si>
  <si>
    <t>06:16:06.788900 IP 0.0.0.0.bootpc &gt; 255.255.255.255.bootps: BOOTP/DHCP, Request from 08:00:27:1c:57:0a, length 292</t>
  </si>
  <si>
    <t>06:16:06.790794 IP 192.168.100.27.bootps &gt; 192.168.100.29.bootpc: BOOTP/DHCP, Reply, length 300</t>
  </si>
  <si>
    <t>06:17:21.614557 IP 0.0.0.0.bootpc &gt; 255.255.255.255.bootps: BOOTP/DHCP, Request from 08:00:27:49:8e:e1, length 292</t>
  </si>
  <si>
    <t>06:17:21.616885 IP 192.168.100.27.bootps &gt; 192.168.100.30.bootpc: BOOTP/DHCP, Reply, length 300</t>
  </si>
  <si>
    <t>06:18:20.847507 IP 0.0.0.0.bootpc &gt; 255.255.255.255.bootps: BOOTP/DHCP, Request from 08:00:27:f6:88:de, length 295</t>
  </si>
  <si>
    <t>06:18:20.849455 IP 192.168.100.27.bootps &gt; 192.168.100.31.bootpc: BOOTP/DHCP, Reply, length 303</t>
  </si>
  <si>
    <t>[ 9899.574800] e1000 0000:00:09.0 enp0s9: left promiscuous mode</t>
  </si>
  <si>
    <t>[root@dhcp-test ~]#</t>
  </si>
  <si>
    <t>通信方向</t>
    <rPh sb="0" eb="2">
      <t>ツウシン</t>
    </rPh>
    <rPh sb="2" eb="4">
      <t>ホウコウ</t>
    </rPh>
    <phoneticPr fontId="1"/>
  </si>
  <si>
    <t>jump-test⇒dhcp-test</t>
    <phoneticPr fontId="1"/>
  </si>
  <si>
    <t>dhcp-test⇒jump-test</t>
    <phoneticPr fontId="1"/>
  </si>
  <si>
    <t>dns-test⇒dhcp-test</t>
    <phoneticPr fontId="1"/>
  </si>
  <si>
    <t>ntp-test⇒dhcp-test</t>
    <phoneticPr fontId="1"/>
  </si>
  <si>
    <t>syslog-test⇒dhcp-test</t>
    <phoneticPr fontId="1"/>
  </si>
  <si>
    <t>dhcp-test⇒dns-test</t>
    <phoneticPr fontId="1"/>
  </si>
  <si>
    <t>dhcp-test⇒ntp-test</t>
    <phoneticPr fontId="1"/>
  </si>
  <si>
    <t>06:08:24.454091 IP 0.0.0.0.bootpc &gt; 255.255.255.255.bootps: BOOTP/DHCP, Request from 08:00:27:85:23:1c, length 293</t>
    <phoneticPr fontId="1"/>
  </si>
  <si>
    <t>[root@ntp-test ~]# tcpdump -i enp0s9 port 123 -n</t>
  </si>
  <si>
    <t>[12660.383520] e1000 0000:00:09.0 enp0s9: entered promiscuous mode</t>
  </si>
  <si>
    <t>07:05:07.611912 IP 192.168.100.26.41956 &gt; 192.168.100.30.ntp: NTPv4, Client, length 48</t>
  </si>
  <si>
    <t>07:05:07.612018 IP 192.168.100.30.ntp &gt; 192.168.100.26.41956: NTPv4, Server, length 48</t>
  </si>
  <si>
    <t>07:05:36.011003 IP 192.168.100.27.35724 &gt; 192.168.100.30.ntp: NTPv4, Client, length 48</t>
  </si>
  <si>
    <t>07:05:36.011114 IP 192.168.100.30.ntp &gt; 192.168.100.27.35724: NTPv4, Server, length 48</t>
  </si>
  <si>
    <t>07:05:39.149754 IP 192.168.100.28.55543 &gt; 192.168.100.30.ntp: NTPv4, Client, length 48</t>
  </si>
  <si>
    <t>07:05:39.149871 IP 192.168.100.30.ntp &gt; 192.168.100.28.55543: NTPv4, Server, length 48</t>
  </si>
  <si>
    <t>07:05:47.717246 IP 192.168.100.29.45179 &gt; 192.168.100.30.ntp: NTPv4, Client, length 48</t>
  </si>
  <si>
    <t>07:05:47.717360 IP 192.168.100.30.ntp &gt; 192.168.100.29.45179: NTPv4, Server, length 48</t>
  </si>
  <si>
    <t>07:05:50.929997 IP 192.168.100.31.49511 &gt; 192.168.100.30.ntp: NTPv4, Client, length 48</t>
  </si>
  <si>
    <t>07:05:50.930112 IP 192.168.100.30.ntp &gt; 192.168.100.31.49511: NTPv4, Server, length 48</t>
  </si>
  <si>
    <t>07:05:56.894766 IP 192.168.110.8.38914 &gt; 192.168.100.30.ntp: NTPv4, Client, length 48</t>
  </si>
  <si>
    <t>07:05:56.894874 IP 192.168.100.30.ntp &gt; 192.168.110.8.38914: NTPv4, Server, length 48</t>
  </si>
  <si>
    <t>07:05:59.765152 IP 192.168.120.7.51210 &gt; 192.168.100.30.ntp: NTPv4, Client, length 48</t>
  </si>
  <si>
    <t>07:05:59.765259 IP 192.168.100.30.ntp &gt; 192.168.120.7.51210: NTPv4, Server, length 48</t>
  </si>
  <si>
    <t>07:06:03.472043 IP 192.168.110.9.55199 &gt; 192.168.100.30.ntp: NTPv4, Client, length 48</t>
  </si>
  <si>
    <t>07:06:03.472198 IP 192.168.100.30.ntp &gt; 192.168.110.9.55199: NTPv4, Server, length 48</t>
  </si>
  <si>
    <t>07:06:12.540224 IP 192.168.100.26.58446 &gt; 192.168.100.30.ntp: NTPv4, Client, length 48</t>
  </si>
  <si>
    <t>07:06:12.540349 IP 192.168.100.30.ntp &gt; 192.168.100.26.58446: NTPv4, Server, length 48</t>
  </si>
  <si>
    <t>07:06:40.043883 IP 192.168.100.27.59511 &gt; 192.168.100.30.ntp: NTPv4, Client, length 48</t>
  </si>
  <si>
    <t>07:06:40.043993 IP 192.168.100.30.ntp &gt; 192.168.100.27.59511: NTPv4, Server, length 48</t>
  </si>
  <si>
    <t>07:06:44.092650 IP 192.168.100.28.46496 &gt; 192.168.100.30.ntp: NTPv4, Client, length 48</t>
  </si>
  <si>
    <t>07:06:44.092760 IP 192.168.100.30.ntp &gt; 192.168.100.28.46496: NTPv4, Server, length 48</t>
  </si>
  <si>
    <t>07:06:51.952435 IP 192.168.100.29.nimspooler &gt; 192.168.100.30.ntp: NTPv4, Client, length 48</t>
  </si>
  <si>
    <t>07:06:51.952541 IP 192.168.100.30.ntp &gt; 192.168.100.29.nimspooler: NTPv4, Server, length 48</t>
  </si>
  <si>
    <t>07:06:55.642589 IP 192.168.100.31.38083 &gt; 192.168.100.30.ntp: NTPv4, Client, length 48</t>
  </si>
  <si>
    <t>07:06:55.642698 IP 192.168.100.30.ntp &gt; 192.168.100.31.38083: NTPv4, Server, length 48</t>
  </si>
  <si>
    <t>07:07:01.190942 IP 192.168.110.8.34465 &gt; 192.168.100.30.ntp: NTPv4, Client, length 48</t>
  </si>
  <si>
    <t>07:07:01.191064 IP 192.168.100.30.ntp &gt; 192.168.110.8.34465: NTPv4, Server, length 48</t>
  </si>
  <si>
    <t>07:07:04.397559 IP 192.168.120.7.39337 &gt; 192.168.100.30.ntp: NTPv4, Client, length 48</t>
  </si>
  <si>
    <t>07:07:04.397666 IP 192.168.100.30.ntp &gt; 192.168.120.7.39337: NTPv4, Server, length 48</t>
  </si>
  <si>
    <t>07:07:17.767306 IP 192.168.100.26.59305 &gt; 192.168.100.30.ntp: NTPv4, Client, length 48</t>
  </si>
  <si>
    <t>07:07:17.767411 IP 192.168.100.30.ntp &gt; 192.168.100.26.59305: NTPv4, Server, length 48</t>
  </si>
  <si>
    <t>07:07:45.276016 IP 192.168.100.27.40364 &gt; 192.168.100.30.ntp: NTPv4, Client, length 48</t>
  </si>
  <si>
    <t>07:07:45.276131 IP 192.168.100.30.ntp &gt; 192.168.100.27.40364: NTPv4, Server, length 48</t>
  </si>
  <si>
    <t>07:07:48.350133 IP 192.168.100.28.54608 &gt; 192.168.100.30.ntp: NTPv4, Client, length 48</t>
  </si>
  <si>
    <t>07:07:48.350242 IP 192.168.100.30.ntp &gt; 192.168.100.28.54608: NTPv4, Server, length 48</t>
  </si>
  <si>
    <t>07:07:56.936862 IP 192.168.100.29.59384 &gt; 192.168.100.30.ntp: NTPv4, Client, length 48</t>
  </si>
  <si>
    <t>07:07:56.936968 IP 192.168.100.30.ntp &gt; 192.168.100.29.59384: NTPv4, Server, length 48</t>
  </si>
  <si>
    <t>07:07:59.810821 IP 192.168.100.31.50574 &gt; 192.168.100.30.ntp: NTPv4, Client, length 48</t>
  </si>
  <si>
    <t>07:07:59.810928 IP 192.168.100.30.ntp &gt; 192.168.100.31.50574: NTPv4, Server, length 48</t>
  </si>
  <si>
    <t>07:08:06.469073 IP 192.168.110.8.36891 &gt; 192.168.100.30.ntp: NTPv4, Client, length 48</t>
  </si>
  <si>
    <t>07:08:06.469233 IP 192.168.100.30.ntp &gt; 192.168.110.8.36891: NTPv4, Server, length 48</t>
  </si>
  <si>
    <t>07:08:08.517929 IP 192.168.120.7.52139 &gt; 192.168.100.30.ntp: NTPv4, Client, length 48</t>
  </si>
  <si>
    <t>07:08:08.518037 IP 192.168.100.30.ntp &gt; 192.168.120.7.52139: NTPv4, Server, length 48</t>
  </si>
  <si>
    <t>07:08:23.030189 IP 192.168.100.26.50079 &gt; 192.168.100.30.ntp: NTPv4, Client, length 48</t>
  </si>
  <si>
    <t>07:08:23.030307 IP 192.168.100.30.ntp &gt; 192.168.100.26.50079: NTPv4, Server, length 48</t>
  </si>
  <si>
    <t>07:08:49.495166 IP 192.168.100.27.43358 &gt; 192.168.100.30.ntp: NTPv4, Client, length 48</t>
  </si>
  <si>
    <t>07:08:49.495283 IP 192.168.100.30.ntp &gt; 192.168.100.27.43358: NTPv4, Server, length 48</t>
  </si>
  <si>
    <t>07:08:52.637220 IP 192.168.100.28.46302 &gt; 192.168.100.30.ntp: NTPv4, Client, length 48</t>
  </si>
  <si>
    <t>07:08:52.637338 IP 192.168.100.30.ntp &gt; 192.168.100.28.46302: NTPv4, Server, length 48</t>
  </si>
  <si>
    <t>07:09:01.232681 IP 192.168.100.29.59413 &gt; 192.168.100.30.ntp: NTPv4, Client, length 48</t>
  </si>
  <si>
    <t>07:09:01.232895 IP 192.168.100.30.ntp &gt; 192.168.100.29.59413: NTPv4, Server, length 48</t>
  </si>
  <si>
    <t>07:09:02.297455 IP 192.168.100.30.59161 &gt; 85.121.50.82.ntp: NTPv4, Client, length 48</t>
  </si>
  <si>
    <t>07:09:02.355924 IP 85.121.50.82.ntp &gt; 192.168.100.30.59161: NTPv4, Server, length 48</t>
  </si>
  <si>
    <t>07:09:03.333376 IP 192.168.110.10.36008 &gt; 192.168.100.30.ntp: NTPv4, Client, length 48</t>
  </si>
  <si>
    <t>07:09:03.333471 IP 192.168.100.30.ntp &gt; 192.168.110.10.36008: NTPv4, Server, length 48</t>
  </si>
  <si>
    <t>07:09:03.979317 IP 192.168.100.31.48253 &gt; 192.168.100.30.ntp: NTPv4, Client, length 48</t>
  </si>
  <si>
    <t>07:09:03.979424 IP 192.168.100.30.ntp &gt; 192.168.100.31.48253: NTPv4, Server, length 48</t>
  </si>
  <si>
    <t>07:09:07.520128 IP 192.168.100.30.58831 &gt; 129.250.35.251.ntp: NTPv4, Client, length 48</t>
  </si>
  <si>
    <t>07:09:07.545967 IP 129.250.35.251.ntp &gt; 192.168.100.30.58831: NTPv4, Server, length 48</t>
  </si>
  <si>
    <t>07:09:10.534517 IP 192.168.110.8.39961 &gt; 192.168.100.30.ntp: NTPv4, Client, length 48</t>
  </si>
  <si>
    <t>07:09:10.534633 IP 192.168.100.30.ntp &gt; 192.168.110.8.39961: NTPv4, Server, length 48</t>
  </si>
  <si>
    <t>07:09:26.746087 IP 192.168.100.30.45395 &gt; 85.121.122.62.ntp: NTPv4, Client, length 48</t>
  </si>
  <si>
    <t>07:09:26.769911 IP 85.121.122.62.ntp &gt; 192.168.100.30.45395: NTPv4, Server, length 48</t>
  </si>
  <si>
    <t>07:09:28.259130 IP 192.168.100.26.38860 &gt; 192.168.100.30.ntp: NTPv4, Client, length 48</t>
  </si>
  <si>
    <t>07:09:28.259249 IP 192.168.100.30.ntp &gt; 192.168.100.26.38860: NTPv4, Server, length 48</t>
  </si>
  <si>
    <t>07:09:35.259357 IP 192.168.100.30.53879 &gt; 163.44.119.85.ntp: NTPv4, Client, length 48</t>
  </si>
  <si>
    <t>07:09:35.297433 IP 163.44.119.85.ntp &gt; 192.168.100.30.53879: NTPv4, Server, length 48</t>
  </si>
  <si>
    <t>[12949.881351] e1000 0000:00:09.0 enp0s9: left promiscuous mode</t>
  </si>
  <si>
    <t>68 packets captured</t>
  </si>
  <si>
    <t>68 packets received by filter</t>
  </si>
  <si>
    <t>jump-test⇒dns-test</t>
    <phoneticPr fontId="1"/>
  </si>
  <si>
    <t>router-test⇒dns-test</t>
    <phoneticPr fontId="1"/>
  </si>
  <si>
    <t>router-test⇒ntp-test</t>
    <phoneticPr fontId="1"/>
  </si>
  <si>
    <t>ntp-test⇒jump-test</t>
    <phoneticPr fontId="1"/>
  </si>
  <si>
    <t>ntp-test⇒router-test</t>
    <phoneticPr fontId="1"/>
  </si>
  <si>
    <t>dns-test⇒ntp-test</t>
    <phoneticPr fontId="1"/>
  </si>
  <si>
    <t>syslog-test⇒ntp-test</t>
    <phoneticPr fontId="1"/>
  </si>
  <si>
    <t>ntp-test⇒dns-test</t>
    <phoneticPr fontId="1"/>
  </si>
  <si>
    <t>jump-test⇒ntp-test</t>
    <phoneticPr fontId="1"/>
  </si>
  <si>
    <t>ntp-test⇒syslog-test</t>
    <phoneticPr fontId="1"/>
  </si>
  <si>
    <t>lb-test⇒ntp-test</t>
    <phoneticPr fontId="1"/>
  </si>
  <si>
    <t>ntp-test⇒lb-test</t>
    <phoneticPr fontId="1"/>
  </si>
  <si>
    <t>web-test⇒ntp-test</t>
    <phoneticPr fontId="1"/>
  </si>
  <si>
    <t>ntp-test⇒web-test</t>
    <phoneticPr fontId="1"/>
  </si>
  <si>
    <t>ap-test⇒ntp-test</t>
    <phoneticPr fontId="1"/>
  </si>
  <si>
    <t>ntp-test⇒ap-test</t>
    <phoneticPr fontId="1"/>
  </si>
  <si>
    <t>db-test⇒ntp-test</t>
    <phoneticPr fontId="1"/>
  </si>
  <si>
    <t>ntp-test⇒db-test</t>
    <phoneticPr fontId="1"/>
  </si>
  <si>
    <t>NTP モード</t>
    <phoneticPr fontId="1"/>
  </si>
  <si>
    <t>本シートに登場する「■サーバー側作業ログ_tcpdump取得」の青字部分を以下の表で整理している。</t>
    <rPh sb="0" eb="1">
      <t>ホン</t>
    </rPh>
    <rPh sb="5" eb="7">
      <t>トウジョウ</t>
    </rPh>
    <rPh sb="15" eb="16">
      <t>ガワ</t>
    </rPh>
    <rPh sb="16" eb="18">
      <t>サギョウ</t>
    </rPh>
    <rPh sb="28" eb="30">
      <t>シュトク</t>
    </rPh>
    <rPh sb="32" eb="34">
      <t>アオジ</t>
    </rPh>
    <rPh sb="34" eb="36">
      <t>ブブン</t>
    </rPh>
    <rPh sb="37" eb="39">
      <t>イカ</t>
    </rPh>
    <rPh sb="40" eb="41">
      <t>ヒョウ</t>
    </rPh>
    <rPh sb="42" eb="44">
      <t>セイリ</t>
    </rPh>
    <phoneticPr fontId="1"/>
  </si>
  <si>
    <t>青字部分を以下表の貼り付けデータ欄に添付し、関数により各項目を抽出している。</t>
    <rPh sb="5" eb="7">
      <t>イカ</t>
    </rPh>
    <rPh sb="7" eb="8">
      <t>ヒョウ</t>
    </rPh>
    <rPh sb="18" eb="20">
      <t>テンプ</t>
    </rPh>
    <rPh sb="22" eb="24">
      <t>カンスウ</t>
    </rPh>
    <rPh sb="27" eb="28">
      <t>カク</t>
    </rPh>
    <rPh sb="28" eb="30">
      <t>コウモク</t>
    </rPh>
    <rPh sb="31" eb="33">
      <t>チュウシュツ</t>
    </rPh>
    <phoneticPr fontId="1"/>
  </si>
  <si>
    <t>■クライアント側作業ログ_loggerを実行</t>
    <rPh sb="8" eb="10">
      <t>サギョウ</t>
    </rPh>
    <rPh sb="20" eb="22">
      <t>ジッコウ</t>
    </rPh>
    <phoneticPr fontId="1"/>
  </si>
  <si>
    <t>○router-test</t>
    <phoneticPr fontId="1"/>
  </si>
  <si>
    <t>[root@syslog-test ~]# tcpdump -i enp0s9 port 514 -n</t>
  </si>
  <si>
    <t>[16554.837727] e1000 0000:00:09.0 enp0s9: entered promiscuous mode</t>
  </si>
  <si>
    <t>08:11:26.754166 IP 192.168.100.26.60413 &gt; 192.168.100.31.syslog: SYSLOG auth.info, length: 80</t>
  </si>
  <si>
    <t>08:11:26.754421 IP 192.168.100.26.60413 &gt; 192.168.100.31.syslog: SYSLOG daemon.info, length: 78</t>
  </si>
  <si>
    <t>08:11:26.770983 IP 192.168.100.26.60413 &gt; 192.168.100.31.syslog: SYSLOG daemon.info, length: 90</t>
  </si>
  <si>
    <t>08:11:26.771136 IP 192.168.100.26.60413 &gt; 192.168.100.31.syslog: SYSLOG daemon.info, length: 88</t>
  </si>
  <si>
    <t>08:11:26.775014 IP 192.168.100.26.60413 &gt; 192.168.100.31.syslog: SYSLOG daemon.info, length: 78</t>
  </si>
  <si>
    <t>08:11:26.776249 IP 192.168.100.26.60413 &gt; 192.168.100.31.syslog: SYSLOG authpriv.info, length: 129</t>
  </si>
  <si>
    <t>08:11:27.372216 IP 192.168.100.26.60413 &gt; 192.168.100.31.syslog: SYSLOG daemon.info, length: 100</t>
  </si>
  <si>
    <t>08:11:27.384759 IP 192.168.100.26.60413 &gt; 192.168.100.31.syslog: SYSLOG daemon.info, length: 84</t>
  </si>
  <si>
    <t>08:11:27.386973 IP 192.168.100.26.60413 &gt; 192.168.100.31.syslog: SYSLOG daemon.info, length: 185</t>
  </si>
  <si>
    <t>08:11:27.387103 IP 192.168.100.26.60413 &gt; 192.168.100.31.syslog: SYSLOG daemon.info, length: 101</t>
  </si>
  <si>
    <t>08:11:27.388213 IP 192.168.100.26.60413 &gt; 192.168.100.31.syslog: SYSLOG daemon.info, length: 68</t>
  </si>
  <si>
    <t>08:11:27.388349 IP 192.168.100.26.60413 &gt; 192.168.100.31.syslog: SYSLOG daemon.info, length: 69</t>
  </si>
  <si>
    <t>08:11:27.389683 IP 192.168.100.26.60413 &gt; 192.168.100.31.syslog: SYSLOG daemon.info, length: 88</t>
  </si>
  <si>
    <t>08:11:27.389853 IP 192.168.100.26.60413 &gt; 192.168.100.31.syslog: SYSLOG daemon.info, length: 103</t>
  </si>
  <si>
    <t>08:11:27.389995 IP 192.168.100.26.60413 &gt; 192.168.100.31.syslog: SYSLOG daemon.info, length: 101</t>
  </si>
  <si>
    <t>08:11:27.391892 IP 192.168.100.26.60413 &gt; 192.168.100.31.syslog: SYSLOG daemon.info, length: 90</t>
  </si>
  <si>
    <t>08:11:27.392409 IP 192.168.100.26.60413 &gt; 192.168.100.31.syslog: SYSLOG daemon.info, length: 70</t>
  </si>
  <si>
    <t>08:11:27.393309 IP 192.168.100.26.60413 &gt; 192.168.100.31.syslog: SYSLOG daemon.info, length: 75</t>
  </si>
  <si>
    <t>08:11:27.393419 IP 192.168.100.26.60413 &gt; 192.168.100.31.syslog: SYSLOG daemon.info, length: 75</t>
  </si>
  <si>
    <t>08:11:27.394481 IP 192.168.100.26.60413 &gt; 192.168.100.31.syslog: SYSLOG daemon.info, length: 79</t>
  </si>
  <si>
    <t>08:11:27.397669 IP 192.168.100.26.60413 &gt; 192.168.100.31.syslog: SYSLOG daemon.info, length: 73</t>
  </si>
  <si>
    <t>08:11:27.397758 IP 192.168.100.26.60413 &gt; 192.168.100.31.syslog: SYSLOG daemon.info, length: 75</t>
  </si>
  <si>
    <t>08:11:27.398802 IP 192.168.100.26.60413 &gt; 192.168.100.31.syslog: SYSLOG authpriv.info, length: 120</t>
  </si>
  <si>
    <t>08:11:27.406082 IP 192.168.100.26.60413 &gt; 192.168.100.31.syslog: SYSLOG authpriv.info, length: 68</t>
  </si>
  <si>
    <t>08:11:27.406167 IP 192.168.100.26.60413 &gt; 192.168.100.31.syslog: SYSLOG authpriv.notice, length: 64</t>
  </si>
  <si>
    <t>08:11:27.407936 IP 192.168.100.26.60413 &gt; 192.168.100.31.syslog: SYSLOG daemon.info, length: 72</t>
  </si>
  <si>
    <t>08:11:27.408141 IP 192.168.100.26.60413 &gt; 192.168.100.31.syslog: SYSLOG daemon.info, length: 69</t>
  </si>
  <si>
    <t>08:11:57.621269 IP 192.168.100.26.60413 &gt; 192.168.100.31.syslog: SYSLOG daemon.info, length: 96</t>
  </si>
  <si>
    <t>08:12:40.463780 IP 192.168.110.8.50633 &gt; 192.168.100.31.syslog: SYSLOG daemon.info, length: 74</t>
  </si>
  <si>
    <t>08:12:40.463780 IP 192.168.110.8.50633 &gt; 192.168.100.31.syslog: SYSLOG daemon.info, length: 86</t>
  </si>
  <si>
    <t>08:12:40.463996 IP 192.168.110.8.50633 &gt; 192.168.100.31.syslog: SYSLOG auth.info, length: 76</t>
  </si>
  <si>
    <t>08:12:40.464119 IP 192.168.110.8.50633 &gt; 192.168.100.31.syslog: SYSLOG daemon.info, length: 84</t>
  </si>
  <si>
    <t>08:12:40.464249 IP 192.168.110.8.50633 &gt; 192.168.100.31.syslog: SYSLOG daemon.info, length: 74</t>
  </si>
  <si>
    <t>08:12:40.488801 IP 192.168.110.8.50633 &gt; 192.168.100.31.syslog: SYSLOG authpriv.info, length: 125</t>
  </si>
  <si>
    <t>08:12:41.013402 IP 192.168.110.8.50633 &gt; 192.168.100.31.syslog: SYSLOG daemon.info, length: 96</t>
  </si>
  <si>
    <t>08:12:41.013402 IP 192.168.110.8.50633 &gt; 192.168.100.31.syslog: SYSLOG daemon.info, length: 80</t>
  </si>
  <si>
    <t>08:12:41.013616 IP 192.168.110.8.50633 &gt; 192.168.100.31.syslog: SYSLOG daemon.info, length: 181</t>
  </si>
  <si>
    <t>08:12:41.013752 IP 192.168.110.8.50633 &gt; 192.168.100.31.syslog: SYSLOG daemon.info, length: 97</t>
  </si>
  <si>
    <t>08:12:41.013928 IP 192.168.110.8.50633 &gt; 192.168.100.31.syslog: SYSLOG daemon.info, length: 64</t>
  </si>
  <si>
    <t>08:12:41.014255 IP 192.168.110.8.50633 &gt; 192.168.100.31.syslog: SYSLOG daemon.info, length: 65</t>
  </si>
  <si>
    <t>08:12:41.014529 IP 192.168.110.8.50633 &gt; 192.168.100.31.syslog: SYSLOG daemon.info, length: 84</t>
  </si>
  <si>
    <t>08:12:41.014728 IP 192.168.110.8.50633 &gt; 192.168.100.31.syslog: SYSLOG daemon.info, length: 99</t>
  </si>
  <si>
    <t>08:12:41.014847 IP 192.168.110.8.50633 &gt; 192.168.100.31.syslog: SYSLOG daemon.info, length: 86</t>
  </si>
  <si>
    <t>08:12:41.015031 IP 192.168.110.8.50633 &gt; 192.168.100.31.syslog: SYSLOG daemon.info, length: 66</t>
  </si>
  <si>
    <t>08:12:41.015287 IP 192.168.110.8.50633 &gt; 192.168.100.31.syslog: SYSLOG daemon.info, length: 97</t>
  </si>
  <si>
    <t>08:12:41.015443 IP 192.168.110.8.50633 &gt; 192.168.100.31.syslog: SYSLOG daemon.info, length: 71</t>
  </si>
  <si>
    <t>08:12:41.016078 IP 192.168.110.8.50633 &gt; 192.168.100.31.syslog: SYSLOG daemon.info, length: 71</t>
  </si>
  <si>
    <t>08:12:41.016917 IP 192.168.110.8.50633 &gt; 192.168.100.31.syslog: SYSLOG daemon.info, length: 75</t>
  </si>
  <si>
    <t>08:12:41.017051 IP 192.168.110.8.50633 &gt; 192.168.100.31.syslog: SYSLOG daemon.info, length: 69</t>
  </si>
  <si>
    <t>08:12:41.017164 IP 192.168.110.8.50633 &gt; 192.168.100.31.syslog: SYSLOG daemon.info, length: 71</t>
  </si>
  <si>
    <t>08:12:41.017450 IP 192.168.110.8.50633 &gt; 192.168.100.31.syslog: SYSLOG authpriv.info, length: 115</t>
  </si>
  <si>
    <t>08:12:41.017578 IP 192.168.110.8.50633 &gt; 192.168.100.31.syslog: SYSLOG authpriv.info, length: 63</t>
  </si>
  <si>
    <t>08:12:41.017685 IP 192.168.110.8.50633 &gt; 192.168.100.31.syslog: SYSLOG authpriv.notice, length: 59</t>
  </si>
  <si>
    <t>08:12:41.017793 IP 192.168.110.8.50633 &gt; 192.168.100.31.syslog: SYSLOG daemon.info, length: 68</t>
  </si>
  <si>
    <t>08:12:41.464109 IP 192.168.110.8.50633 &gt; 192.168.100.31.syslog: SYSLOG daemon.info, length: 65</t>
  </si>
  <si>
    <t>08:12:49.709045 IP 192.168.100.27.45238 &gt; 192.168.100.31.syslog: SYSLOG daemon.info, length: 67</t>
  </si>
  <si>
    <t>08:12:51.466943 IP 192.168.100.27.45238 &gt; 192.168.100.31.syslog: SYSLOG daemon.info, length: 87</t>
  </si>
  <si>
    <t>08:12:55.072076 IP 192.168.100.27.45238 &gt; 192.168.100.31.syslog: SYSLOG daemon.info, length: 116</t>
  </si>
  <si>
    <t>08:12:56.119057 IP 192.168.100.27.45238 &gt; 192.168.100.31.syslog: SYSLOG daemon.info, length: 116</t>
  </si>
  <si>
    <t>08:12:56.966678 IP 192.168.100.27.45238 &gt; 192.168.100.31.syslog: SYSLOG daemon.info, length: 116</t>
  </si>
  <si>
    <t>08:12:57.868163 IP 192.168.100.27.45238 &gt; 192.168.100.31.syslog: SYSLOG daemon.info, length: 116</t>
  </si>
  <si>
    <t>08:13:00.671005 IP 192.168.100.27.45238 &gt; 192.168.100.31.syslog: SYSLOG daemon.info, length: 116</t>
  </si>
  <si>
    <t>08:13:01.617646 IP 192.168.100.27.45238 &gt; 192.168.100.31.syslog: SYSLOG daemon.info, length: 64</t>
  </si>
  <si>
    <t>08:13:01.967006 IP 192.168.100.27.45238 &gt; 192.168.100.31.syslog: SYSLOG daemon.info, length: 90</t>
  </si>
  <si>
    <t>08:13:01.967409 IP 192.168.100.27.45238 &gt; 192.168.100.31.syslog: SYSLOG daemon.info, length: 65</t>
  </si>
  <si>
    <t>08:13:01.967498 IP 192.168.100.27.45238 &gt; 192.168.100.31.syslog: SYSLOG daemon.info, length: 90</t>
  </si>
  <si>
    <t>08:13:11.210794 IP 192.168.110.8.50633 &gt; 192.168.100.31.syslog: SYSLOG daemon.info, length: 92</t>
  </si>
  <si>
    <t>08:13:33.121163 IP 192.168.110.9.60889 &gt; 192.168.100.31.syslog: SYSLOG daemon.info, length: 75</t>
  </si>
  <si>
    <t>08:13:33.121536 IP 192.168.110.9.60889 &gt; 192.168.100.31.syslog: SYSLOG daemon.info, length: 87</t>
  </si>
  <si>
    <t>08:13:33.121536 IP 192.168.110.9.60889 &gt; 192.168.100.31.syslog: SYSLOG auth.info, length: 77</t>
  </si>
  <si>
    <t>08:13:33.406932 IP 192.168.110.9.60889 &gt; 192.168.100.31.syslog: SYSLOG daemon.info, length: 85</t>
  </si>
  <si>
    <t>08:13:33.406932 IP 192.168.110.9.60889 &gt; 192.168.100.31.syslog: SYSLOG daemon.info, length: 75</t>
  </si>
  <si>
    <t>08:13:33.407102 IP 192.168.110.9.60889 &gt; 192.168.100.31.syslog: SYSLOG authpriv.info, length: 126</t>
  </si>
  <si>
    <t>08:13:33.413766 IP 192.168.110.9.60889 &gt; 192.168.100.31.syslog: SYSLOG daemon.info, length: 97</t>
  </si>
  <si>
    <t>08:13:33.740943 IP 192.168.110.9.60889 &gt; 192.168.100.31.syslog: SYSLOG daemon.info, length: 81</t>
  </si>
  <si>
    <t>08:13:33.741433 IP 192.168.110.9.60889 &gt; 192.168.100.31.syslog: SYSLOG daemon.info, length: 182</t>
  </si>
  <si>
    <t>08:13:33.741685 IP 192.168.110.9.60889 &gt; 192.168.100.31.syslog: SYSLOG daemon.info, length: 98</t>
  </si>
  <si>
    <t>08:13:33.741811 IP 192.168.110.9.60889 &gt; 192.168.100.31.syslog: SYSLOG daemon.info, length: 65</t>
  </si>
  <si>
    <t>08:13:33.742058 IP 192.168.110.9.60889 &gt; 192.168.100.31.syslog: SYSLOG daemon.info, length: 66</t>
  </si>
  <si>
    <t>08:13:33.742284 IP 192.168.110.9.60889 &gt; 192.168.100.31.syslog: SYSLOG daemon.info, length: 85</t>
  </si>
  <si>
    <t>08:13:33.742507 IP 192.168.110.9.60889 &gt; 192.168.100.31.syslog: SYSLOG daemon.info, length: 100</t>
  </si>
  <si>
    <t>08:13:33.742708 IP 192.168.110.9.60889 &gt; 192.168.100.31.syslog: SYSLOG daemon.info, length: 87</t>
  </si>
  <si>
    <t>08:13:33.742932 IP 192.168.110.9.60889 &gt; 192.168.100.31.syslog: SYSLOG daemon.info, length: 67</t>
  </si>
  <si>
    <t>08:13:33.743118 IP 192.168.110.9.60889 &gt; 192.168.100.31.syslog: SYSLOG daemon.info, length: 98</t>
  </si>
  <si>
    <t>08:13:33.743213 IP 192.168.110.9.60889 &gt; 192.168.100.31.syslog: SYSLOG daemon.info, length: 72</t>
  </si>
  <si>
    <t>08:13:33.743678 IP 192.168.110.9.60889 &gt; 192.168.100.31.syslog: SYSLOG daemon.info, length: 72</t>
  </si>
  <si>
    <t>08:13:33.743678 IP 192.168.110.9.60889 &gt; 192.168.100.31.syslog: SYSLOG daemon.info, length: 76</t>
  </si>
  <si>
    <t>08:13:33.743802 IP 192.168.110.9.60889 &gt; 192.168.100.31.syslog: SYSLOG daemon.info, length: 70</t>
  </si>
  <si>
    <t>08:13:33.744010 IP 192.168.110.9.60889 &gt; 192.168.100.31.syslog: SYSLOG daemon.info, length: 72</t>
  </si>
  <si>
    <t>08:13:33.744285 IP 192.168.110.9.60889 &gt; 192.168.100.31.syslog: SYSLOG authpriv.info, length: 116</t>
  </si>
  <si>
    <t>08:13:33.744425 IP 192.168.110.9.60889 &gt; 192.168.100.31.syslog: SYSLOG authpriv.info, length: 64</t>
  </si>
  <si>
    <t>08:13:33.744615 IP 192.168.110.9.60889 &gt; 192.168.100.31.syslog: SYSLOG authpriv.notice, length: 60</t>
  </si>
  <si>
    <t>08:13:33.744762 IP 192.168.110.9.60889 &gt; 192.168.100.31.syslog: SYSLOG daemon.info, length: 69</t>
  </si>
  <si>
    <t>08:13:33.744934 IP 192.168.110.9.60889 &gt; 192.168.100.31.syslog: SYSLOG daemon.info, length: 66</t>
  </si>
  <si>
    <t>08:13:53.109413 IP 192.168.120.7.33897 &gt; 192.168.100.31.syslog: SYSLOG daemon.info, length: 74</t>
  </si>
  <si>
    <t>08:13:53.109440 IP 192.168.120.7.33897 &gt; 192.168.100.31.syslog: SYSLOG daemon.info, length: 86</t>
  </si>
  <si>
    <t>08:13:53.109749 IP 192.168.120.7.33897 &gt; 192.168.100.31.syslog: SYSLOG auth.info, length: 76</t>
  </si>
  <si>
    <t>08:13:53.109749 IP 192.168.120.7.33897 &gt; 192.168.100.31.syslog: SYSLOG daemon.info, length: 84</t>
  </si>
  <si>
    <t>08:13:53.109934 IP 192.168.120.7.33897 &gt; 192.168.100.31.syslog: SYSLOG daemon.info, length: 74</t>
  </si>
  <si>
    <t>08:13:53.110147 IP 192.168.120.7.33897 &gt; 192.168.100.31.syslog: SYSLOG authpriv.info, length: 125</t>
  </si>
  <si>
    <t>08:13:53.110427 IP 192.168.120.7.33897 &gt; 192.168.100.31.syslog: SYSLOG daemon.info, length: 96</t>
  </si>
  <si>
    <t>08:13:53.425841 IP 192.168.120.7.33897 &gt; 192.168.100.31.syslog: SYSLOG daemon.info, length: 80</t>
  </si>
  <si>
    <t>08:13:53.425841 IP 192.168.120.7.33897 &gt; 192.168.100.31.syslog: SYSLOG daemon.info, length: 181</t>
  </si>
  <si>
    <t>08:13:53.426066 IP 192.168.120.7.33897 &gt; 192.168.100.31.syslog: SYSLOG daemon.info, length: 97</t>
  </si>
  <si>
    <t>08:13:53.426066 IP 192.168.120.7.33897 &gt; 192.168.100.31.syslog: SYSLOG daemon.info, length: 64</t>
  </si>
  <si>
    <t>08:13:53.426172 IP 192.168.120.7.33897 &gt; 192.168.100.31.syslog: SYSLOG daemon.info, length: 65</t>
  </si>
  <si>
    <t>08:13:53.426499 IP 192.168.120.7.33897 &gt; 192.168.100.31.syslog: SYSLOG daemon.info, length: 84</t>
  </si>
  <si>
    <t>08:13:53.426499 IP 192.168.120.7.33897 &gt; 192.168.100.31.syslog: SYSLOG daemon.info, length: 99</t>
  </si>
  <si>
    <t>08:13:53.426746 IP 192.168.120.7.33897 &gt; 192.168.100.31.syslog: SYSLOG daemon.info, length: 86</t>
  </si>
  <si>
    <t>08:13:53.426747 IP 192.168.120.7.33897 &gt; 192.168.100.31.syslog: SYSLOG daemon.info, length: 66</t>
  </si>
  <si>
    <t>08:13:53.427058 IP 192.168.120.7.33897 &gt; 192.168.100.31.syslog: SYSLOG daemon.info, length: 97</t>
  </si>
  <si>
    <t>08:13:53.427523 IP 192.168.120.7.33897 &gt; 192.168.100.31.syslog: SYSLOG daemon.info, length: 71</t>
  </si>
  <si>
    <t>08:13:53.427649 IP 192.168.120.7.33897 &gt; 192.168.100.31.syslog: SYSLOG daemon.info, length: 71</t>
  </si>
  <si>
    <t>08:13:53.427714 IP 192.168.120.7.33897 &gt; 192.168.100.31.syslog: SYSLOG daemon.info, length: 75</t>
  </si>
  <si>
    <t>08:13:53.427875 IP 192.168.120.7.33897 &gt; 192.168.100.31.syslog: SYSLOG daemon.info, length: 69</t>
  </si>
  <si>
    <t>08:13:53.427966 IP 192.168.120.7.33897 &gt; 192.168.100.31.syslog: SYSLOG daemon.info, length: 71</t>
  </si>
  <si>
    <t>08:13:53.428157 IP 192.168.120.7.33897 &gt; 192.168.100.31.syslog: SYSLOG authpriv.info, length: 115</t>
  </si>
  <si>
    <t>08:13:53.428308 IP 192.168.120.7.33897 &gt; 192.168.100.31.syslog: SYSLOG authpriv.info, length: 63</t>
  </si>
  <si>
    <t>08:13:53.428569 IP 192.168.120.7.33897 &gt; 192.168.100.31.syslog: SYSLOG authpriv.notice, length: 59</t>
  </si>
  <si>
    <t>08:13:53.428790 IP 192.168.120.7.33897 &gt; 192.168.100.31.syslog: SYSLOG daemon.info, length: 68</t>
  </si>
  <si>
    <t>08:13:53.429073 IP 192.168.120.7.33897 &gt; 192.168.100.31.syslog: SYSLOG daemon.info, length: 65</t>
  </si>
  <si>
    <t>08:14:03.990366 IP 192.168.110.9.60889 &gt; 192.168.100.31.syslog: SYSLOG daemon.info, length: 93</t>
  </si>
  <si>
    <t>08:14:23.676120 IP 192.168.120.7.33897 &gt; 192.168.100.31.syslog: SYSLOG daemon.info, length: 92</t>
  </si>
  <si>
    <t>08:14:43.869927 IP 192.168.100.26.60413 &gt; 192.168.100.31.syslog: SYSLOG user.notice, length: 63</t>
  </si>
  <si>
    <t>08:14:51.467636 IP 192.168.100.27.45238 &gt; 192.168.100.31.syslog: SYSLOG user.notice, length: 61</t>
  </si>
  <si>
    <t>08:14:59.646053 IP 192.168.100.28.60779 &gt; 192.168.100.31.syslog: SYSLOG user.notice, length: 61</t>
  </si>
  <si>
    <t>08:15:06.596171 IP 192.168.100.29.57059 &gt; 192.168.100.31.syslog: SYSLOG user.notice, length: 60</t>
  </si>
  <si>
    <t>08:15:10.674801 IP 192.168.100.30.43167 &gt; 192.168.100.31.syslog: SYSLOG user.notice, length: 60</t>
  </si>
  <si>
    <t>08:15:23.060088 IP 192.168.110.8.50633 &gt; 192.168.100.31.syslog: SYSLOG user.notice, length: 59</t>
  </si>
  <si>
    <t>08:15:28.490762 IP 192.168.110.9.60889 &gt; 192.168.100.31.syslog: SYSLOG user.notice, length: 60</t>
  </si>
  <si>
    <t>08:15:33.226850 IP 192.168.110.10.49032 &gt; 192.168.100.31.syslog: SYSLOG user.notice, length: 59</t>
  </si>
  <si>
    <t>08:15:37.426033 IP 192.168.120.7.33897 &gt; 192.168.100.31.syslog: SYSLOG user.notice, length: 59</t>
  </si>
  <si>
    <t>[16898.385480] e1000 0000:00:09.0 enp0s9: left promiscuous mode</t>
  </si>
  <si>
    <t>132 packets captured</t>
  </si>
  <si>
    <t>132 packets received by filter</t>
  </si>
  <si>
    <t>[root@router-test ~]# logger -t test "syslog test message"</t>
  </si>
  <si>
    <t>[root@router-test ~]#</t>
  </si>
  <si>
    <t>○dhcp-test</t>
    <phoneticPr fontId="1"/>
  </si>
  <si>
    <t>[root@dhcp-test ~]# logger -t test "syslog test message"</t>
    <phoneticPr fontId="1"/>
  </si>
  <si>
    <t>[root@dhcp-test ~]#</t>
    <phoneticPr fontId="1"/>
  </si>
  <si>
    <t>[root@jump-test ~]# logger -t test "syslog test message"</t>
    <phoneticPr fontId="1"/>
  </si>
  <si>
    <t>[root@jump-test ~]#</t>
    <phoneticPr fontId="1"/>
  </si>
  <si>
    <t>[root@dns-test ~]# logger -t test "syslog test message"</t>
    <phoneticPr fontId="1"/>
  </si>
  <si>
    <t>[root@dns-test ~]#</t>
    <phoneticPr fontId="1"/>
  </si>
  <si>
    <t>[root@ntp-test ~]# logger -t test "syslog test message"</t>
    <phoneticPr fontId="1"/>
  </si>
  <si>
    <t>[root@ntp-test ~]#</t>
    <phoneticPr fontId="1"/>
  </si>
  <si>
    <t>○lb-test</t>
    <phoneticPr fontId="1"/>
  </si>
  <si>
    <t>[root@lb-test ~]# logger -t test "syslog test message"</t>
    <phoneticPr fontId="1"/>
  </si>
  <si>
    <t>[root@lb-test ~]#</t>
  </si>
  <si>
    <t>[root@lb-test ~]#</t>
    <phoneticPr fontId="1"/>
  </si>
  <si>
    <t>○web-test</t>
    <phoneticPr fontId="1"/>
  </si>
  <si>
    <t>[root@web-test ~]# logger -t test "syslog test message"</t>
    <phoneticPr fontId="1"/>
  </si>
  <si>
    <t>[root@web-test ~]#</t>
  </si>
  <si>
    <t>[root@web-test ~]#</t>
    <phoneticPr fontId="1"/>
  </si>
  <si>
    <t>○ap-test</t>
    <phoneticPr fontId="1"/>
  </si>
  <si>
    <t>[root@ap-test ~]# logger -t test "syslog test message"</t>
    <phoneticPr fontId="1"/>
  </si>
  <si>
    <t>[root@ap-test ~]#</t>
  </si>
  <si>
    <t>[root@ap-test ~]#</t>
    <phoneticPr fontId="1"/>
  </si>
  <si>
    <t>○db-test</t>
    <phoneticPr fontId="1"/>
  </si>
  <si>
    <t>[root@db-test ~]# logger -t test "syslog test message"</t>
    <phoneticPr fontId="1"/>
  </si>
  <si>
    <t>[root@db-test ~]#</t>
  </si>
  <si>
    <t>[root@db-test ~]#</t>
    <phoneticPr fontId="1"/>
  </si>
  <si>
    <t>router-test⇒syslog-test</t>
    <phoneticPr fontId="1"/>
  </si>
  <si>
    <t>dhcp-test⇒syslog-test</t>
    <phoneticPr fontId="1"/>
  </si>
  <si>
    <t>jump-test⇒syslog-test</t>
    <phoneticPr fontId="1"/>
  </si>
  <si>
    <t>dns-test⇒syslog-test</t>
  </si>
  <si>
    <t>dns-test⇒syslog-test</t>
    <phoneticPr fontId="1"/>
  </si>
  <si>
    <t>lb-test⇒syslog-test</t>
    <phoneticPr fontId="1"/>
  </si>
  <si>
    <t>web-test⇒syslog-test</t>
    <phoneticPr fontId="1"/>
  </si>
  <si>
    <t>ap-test⇒syslog-test</t>
    <phoneticPr fontId="1"/>
  </si>
  <si>
    <t>db-test⇒syslog-test</t>
    <phoneticPr fontId="1"/>
  </si>
  <si>
    <t>行き/返り</t>
    <rPh sb="0" eb="1">
      <t>イキ</t>
    </rPh>
    <rPh sb="3" eb="4">
      <t>カエ</t>
    </rPh>
    <phoneticPr fontId="1"/>
  </si>
  <si>
    <t>dns-test⇒router-test</t>
  </si>
  <si>
    <t>dns-test⇒jump-test</t>
  </si>
  <si>
    <t>syslog-test⇒dns-test</t>
  </si>
  <si>
    <t>lb-test⇒dns-test</t>
  </si>
  <si>
    <t>dns-test⇒lb-test</t>
  </si>
  <si>
    <t>web-test⇒dns-test</t>
  </si>
  <si>
    <t>dns-test⇒web-test</t>
  </si>
  <si>
    <t>ap-test⇒dns-test</t>
  </si>
  <si>
    <t>dns-test⇒ap-test</t>
  </si>
  <si>
    <t>db-test⇒dns-test</t>
  </si>
  <si>
    <t>dns-test⇒db-test</t>
  </si>
  <si>
    <t>■サーバー側作業ログ_tcpdump取得</t>
    <phoneticPr fontId="1"/>
  </si>
  <si>
    <t>■クライアント側作業ログ_digを実行(正引き/逆引き)</t>
    <rPh sb="20" eb="22">
      <t>セイヒ</t>
    </rPh>
    <rPh sb="24" eb="26">
      <t>ギャクヒ</t>
    </rPh>
    <phoneticPr fontId="1"/>
  </si>
  <si>
    <t>; &lt;&lt;&gt;&gt; DiG 9.16.23-RH &lt;&lt;&gt;&gt; router-test.example.com</t>
  </si>
  <si>
    <t>;; global options: +cmd</t>
  </si>
  <si>
    <t>;; Got answer:</t>
  </si>
  <si>
    <t>;; -&gt;&gt;HEADER&lt;&lt;- opcode: QUERY, status: NOERROR, id: 43555</t>
  </si>
  <si>
    <t>;; flags: qr aa rd ra; QUERY: 1, ANSWER: 1, AUTHORITY: 0, ADDITIONAL: 1</t>
  </si>
  <si>
    <t>;; OPT PSEUDOSECTION:</t>
  </si>
  <si>
    <t>; EDNS: version: 0, flags:; udp: 1232</t>
  </si>
  <si>
    <t>; COOKIE: 1cfa8e5b365d72bc0100000069d3a863674298dcd3018f6d (good)</t>
  </si>
  <si>
    <t>;; QUESTION SECTION:</t>
  </si>
  <si>
    <t>;router-test.example.com.       IN      A</t>
  </si>
  <si>
    <t>;; ANSWER SECTION:</t>
  </si>
  <si>
    <t>router-test.example.com. 86400  IN      A       192.168.100.26</t>
  </si>
  <si>
    <t>;; Query time: 21 msec</t>
  </si>
  <si>
    <t>;; SERVER: 192.168.100.29#53(192.168.100.29)</t>
  </si>
  <si>
    <t>;; WHEN: Mon Apr 06 08:34:43 EDT 2026</t>
  </si>
  <si>
    <t>;; MSG SIZE  rcvd: 96</t>
  </si>
  <si>
    <t>; &lt;&lt;&gt;&gt; DiG 9.16.23-RH &lt;&lt;&gt;&gt; -x 192.168.100.26</t>
  </si>
  <si>
    <t>;; -&gt;&gt;HEADER&lt;&lt;- opcode: QUERY, status: NOERROR, id: 15870</t>
  </si>
  <si>
    <t>; COOKIE: b48cf5d7dbdecc4a0100000069d3a86cec325d3f52e27882 (good)</t>
  </si>
  <si>
    <t>;26.100.168.192.in-addr.arpa.   IN      PTR</t>
  </si>
  <si>
    <t>26.100.168.192.in-addr.arpa. 86400 IN   PTR     router-test.example.com.</t>
  </si>
  <si>
    <t>;; Query time: 1 msec</t>
  </si>
  <si>
    <t>;; WHEN: Mon Apr 06 08:34:52 EDT 2026</t>
  </si>
  <si>
    <t>;; MSG SIZE  rcvd: 121</t>
  </si>
  <si>
    <t>[root@dns-test ~]# tcpdump -i enp0s9 port 53 -n</t>
  </si>
  <si>
    <t>[17899.834335] e1000 0000:00:09.0 enp0s9: entered promiscuous mode</t>
  </si>
  <si>
    <t>08:34:43.084096 IP 192.168.100.26.60797 &gt; 192.168.100.29.domain: 43555+ [1au] A? router-test.example.com. (64)</t>
  </si>
  <si>
    <t>08:34:43.102985 IP 192.168.100.29.domain &gt; 192.168.100.26.60797: 43555* 1/0/1 A 192.168.100.26 (96)</t>
  </si>
  <si>
    <t>08:34:52.153459 IP 192.168.100.26.56961 &gt; 192.168.100.29.domain: 15870+ [1au] PTR? 26.100.168.192.in-addr.arpa. (68)</t>
  </si>
  <si>
    <t>08:34:52.153639 IP 192.168.100.29.domain &gt; 192.168.100.26.56961: 15870* 1/0/1 PTR router-test.example.com. (121)</t>
  </si>
  <si>
    <t>正引き/逆引き</t>
    <rPh sb="0" eb="2">
      <t>セイヒ</t>
    </rPh>
    <rPh sb="4" eb="6">
      <t>ギャクヒ</t>
    </rPh>
    <phoneticPr fontId="1"/>
  </si>
  <si>
    <t>[root@router-test ~]# dig router-test.example.com</t>
    <phoneticPr fontId="1"/>
  </si>
  <si>
    <t>[root@router-test ~]# dig -x 192.168.100.26</t>
    <phoneticPr fontId="1"/>
  </si>
  <si>
    <t>; &lt;&lt;&gt;&gt; DiG 9.16.23-RH &lt;&lt;&gt;&gt; dhcp-test.example.com</t>
  </si>
  <si>
    <t>;; -&gt;&gt;HEADER&lt;&lt;- opcode: QUERY, status: NOERROR, id: 26085</t>
  </si>
  <si>
    <t>; COOKIE: 4e7e3b26498483f70100000069d3a957875ba87b0431bb1f (good)</t>
  </si>
  <si>
    <t>;dhcp-test.example.com.         IN      A</t>
  </si>
  <si>
    <t>dhcp-test.example.com.  86400   IN      A       192.168.100.27</t>
  </si>
  <si>
    <t>;; Query time: 7 msec</t>
  </si>
  <si>
    <t>;; WHEN: Mon Apr 06 08:38:47 EDT 2026</t>
  </si>
  <si>
    <t>;; MSG SIZE  rcvd: 94</t>
  </si>
  <si>
    <t>; &lt;&lt;&gt;&gt; DiG 9.16.23-RH &lt;&lt;&gt;&gt; -x 192.168.100.27</t>
  </si>
  <si>
    <t>;; -&gt;&gt;HEADER&lt;&lt;- opcode: QUERY, status: NOERROR, id: 57404</t>
  </si>
  <si>
    <t>; COOKIE: 12965ebace0fb7300100000069d3a96ba75b69a79e9be60c (good)</t>
  </si>
  <si>
    <t>;27.100.168.192.in-addr.arpa.   IN      PTR</t>
  </si>
  <si>
    <t>27.100.168.192.in-addr.arpa. 86400 IN   PTR     dhcp-test.example.com.</t>
  </si>
  <si>
    <t>;; Query time: 0 msec</t>
  </si>
  <si>
    <t>;; WHEN: Mon Apr 06 08:39:07 EDT 2026</t>
  </si>
  <si>
    <t>;; MSG SIZE  rcvd: 119</t>
  </si>
  <si>
    <t>[root@dhcp-test ~]# dig dhcp-test.example.com</t>
    <phoneticPr fontId="1"/>
  </si>
  <si>
    <t>[root@dhcp-test ~]# dig -x 192.168.100.27</t>
    <phoneticPr fontId="1"/>
  </si>
  <si>
    <t>; &lt;&lt;&gt;&gt; DiG 9.16.23-RH &lt;&lt;&gt;&gt; jump-test.example.com</t>
  </si>
  <si>
    <t>;; -&gt;&gt;HEADER&lt;&lt;- opcode: QUERY, status: NOERROR, id: 19129</t>
  </si>
  <si>
    <t>; COOKIE: 128e75cae528dea30100000069d3a9c5ff31d43a6f9294eb (good)</t>
  </si>
  <si>
    <t>;jump-test.example.com.         IN      A</t>
  </si>
  <si>
    <t>jump-test.example.com.  86400   IN      A       192.168.100.28</t>
  </si>
  <si>
    <t>;; WHEN: Mon Apr 06 08:40:37 EDT 2026</t>
  </si>
  <si>
    <t>; &lt;&lt;&gt;&gt; DiG 9.16.23-RH &lt;&lt;&gt;&gt; -x 192.168.100.28</t>
  </si>
  <si>
    <t>;; -&gt;&gt;HEADER&lt;&lt;- opcode: QUERY, status: NOERROR, id: 43310</t>
  </si>
  <si>
    <t>; COOKIE: 8d00d8ef076d8efe0100000069d3a9d1a77e5935744632e7 (good)</t>
  </si>
  <si>
    <t>;28.100.168.192.in-addr.arpa.   IN      PTR</t>
  </si>
  <si>
    <t>28.100.168.192.in-addr.arpa. 86400 IN   PTR     jump-test.example.com.</t>
  </si>
  <si>
    <t>;; WHEN: Mon Apr 06 08:40:49 EDT 2026</t>
  </si>
  <si>
    <t>[root@jump-test ~]# dig jump-test.example.com</t>
    <phoneticPr fontId="1"/>
  </si>
  <si>
    <t>[root@jump-test ~]# dig -x 192.168.100.28</t>
    <phoneticPr fontId="1"/>
  </si>
  <si>
    <t>; &lt;&lt;&gt;&gt; DiG 9.16.23-RH &lt;&lt;&gt;&gt; ntp-test.example.com</t>
  </si>
  <si>
    <t>;; -&gt;&gt;HEADER&lt;&lt;- opcode: QUERY, status: NOERROR, id: 49180</t>
  </si>
  <si>
    <t>; COOKIE: c2830dc7aa1f470c0100000069d3aa6b5a9764f1884ff158 (good)</t>
  </si>
  <si>
    <t>;ntp-test.example.com.          IN      A</t>
  </si>
  <si>
    <t>ntp-test.example.com.   86400   IN      A       192.168.100.30</t>
  </si>
  <si>
    <t>;; Query time: 2 msec</t>
  </si>
  <si>
    <t>;; WHEN: Mon Apr 06 08:43:23 EDT 2026</t>
  </si>
  <si>
    <t>;; MSG SIZE  rcvd: 93</t>
  </si>
  <si>
    <t>; &lt;&lt;&gt;&gt; DiG 9.16.23-RH &lt;&lt;&gt;&gt; -x 192.168.100.30</t>
  </si>
  <si>
    <t>;; -&gt;&gt;HEADER&lt;&lt;- opcode: QUERY, status: NOERROR, id: 40644</t>
  </si>
  <si>
    <t>; COOKIE: 67cb27587444655d0100000069d3aa76e074b68df6ca3f45 (good)</t>
  </si>
  <si>
    <t>;30.100.168.192.in-addr.arpa.   IN      PTR</t>
  </si>
  <si>
    <t>30.100.168.192.in-addr.arpa. 86400 IN   PTR     ntp-test.example.com.</t>
  </si>
  <si>
    <t>;; WHEN: Mon Apr 06 08:43:34 EDT 2026</t>
  </si>
  <si>
    <t>;; MSG SIZE  rcvd: 118</t>
  </si>
  <si>
    <t>[root@ntp-test ~]# dig ntp-test.example.com</t>
    <phoneticPr fontId="1"/>
  </si>
  <si>
    <t>[root@ntp-test ~]# dig -x 192.168.100.30</t>
    <phoneticPr fontId="1"/>
  </si>
  <si>
    <t>[root@syslog-test ~]# dig syslog-test.example.com</t>
  </si>
  <si>
    <t>; &lt;&lt;&gt;&gt; DiG 9.16.23-RH &lt;&lt;&gt;&gt; syslog-test.example.com</t>
  </si>
  <si>
    <t>;; -&gt;&gt;HEADER&lt;&lt;- opcode: QUERY, status: NOERROR, id: 32349</t>
  </si>
  <si>
    <t>; COOKIE: b6831d5ac15ae9e90100000069d3aa9a8334fa9e4910d2b8 (good)</t>
  </si>
  <si>
    <t>;syslog-test.example.com.       IN      A</t>
  </si>
  <si>
    <t>syslog-test.example.com. 86400  IN      A       192.168.100.31</t>
  </si>
  <si>
    <t>;; WHEN: Mon Apr 06 08:44:10 EDT 2026</t>
  </si>
  <si>
    <t>;; -&gt;&gt;HEADER&lt;&lt;- opcode: QUERY, status: NOERROR, id: 65035</t>
  </si>
  <si>
    <t>; COOKIE: 01de46e16b1633720100000069d3aaaa001cd0add6da7a8d (good)</t>
  </si>
  <si>
    <t>;31.100.168.192.in-addr.arpa.   IN      PTR</t>
  </si>
  <si>
    <t>31.100.168.192.in-addr.arpa. 86400 IN   PTR     syslog-test.example.com.</t>
  </si>
  <si>
    <t>;; WHEN: Mon Apr 06 08:44:26 EDT 2026</t>
  </si>
  <si>
    <t>; &lt;&lt;&gt;&gt; DiG 9.16.23-RH &lt;&lt;&gt;&gt; -x 192.168.100.31</t>
    <phoneticPr fontId="1"/>
  </si>
  <si>
    <t>[root@syslog-test ~]# dig -x 192.168.100.31</t>
    <phoneticPr fontId="1"/>
  </si>
  <si>
    <t>; &lt;&lt;&gt;&gt; DiG 9.16.23-RH &lt;&lt;&gt;&gt; lb-test.example.com</t>
  </si>
  <si>
    <t>;; -&gt;&gt;HEADER&lt;&lt;- opcode: QUERY, status: NOERROR, id: 18193</t>
  </si>
  <si>
    <t>; COOKIE: 5be5669d51ae49290100000069d3aaf116b6e1fc03ff8107 (good)</t>
  </si>
  <si>
    <t>;lb-test.example.com.           IN      A</t>
  </si>
  <si>
    <t>lb-test.example.com.    86400   IN      A       192.168.110.8</t>
  </si>
  <si>
    <t>;; WHEN: Mon Apr 06 08:45:37 EDT 2026</t>
  </si>
  <si>
    <t>;; MSG SIZE  rcvd: 92</t>
  </si>
  <si>
    <t>[root@lb-test ~]# dig -x 192.168.110.8</t>
  </si>
  <si>
    <t>; &lt;&lt;&gt;&gt; DiG 9.16.23-RH &lt;&lt;&gt;&gt; -x 192.168.110.8</t>
  </si>
  <si>
    <t>;; -&gt;&gt;HEADER&lt;&lt;- opcode: QUERY, status: NOERROR, id: 8046</t>
  </si>
  <si>
    <t>; COOKIE: 2718a9d5a84b5f320100000069d3ab053ee2e77af14a0cb6 (good)</t>
  </si>
  <si>
    <t>;8.110.168.192.in-addr.arpa.    IN      PTR</t>
  </si>
  <si>
    <t>8.110.168.192.in-addr.arpa. 86400 IN    PTR     lb-test.example.com.</t>
  </si>
  <si>
    <t>;; Query time: 4 msec</t>
  </si>
  <si>
    <t>;; WHEN: Mon Apr 06 08:45:57 EDT 2026</t>
  </si>
  <si>
    <t>;; MSG SIZE  rcvd: 116</t>
  </si>
  <si>
    <t>[root@lb-test ~]# dig lb-test.example.com</t>
    <phoneticPr fontId="1"/>
  </si>
  <si>
    <t>; &lt;&lt;&gt;&gt; DiG 9.16.23-RH &lt;&lt;&gt;&gt; web-test.example.com</t>
  </si>
  <si>
    <t>;; -&gt;&gt;HEADER&lt;&lt;- opcode: QUERY, status: NOERROR, id: 35586</t>
  </si>
  <si>
    <t>; COOKIE: 9c54f3f51e3648980100000069d3ab37b00b863c25c3be65 (good)</t>
  </si>
  <si>
    <t>;web-test.example.com.          IN      A</t>
  </si>
  <si>
    <t>web-test.example.com.   86400   IN      A       192.168.110.9</t>
  </si>
  <si>
    <t>;; WHEN: Mon Apr 06 08:46:47 EDT 2026</t>
  </si>
  <si>
    <t>[root@web-test ~]# dig -x 192.168.110.9</t>
  </si>
  <si>
    <t>; &lt;&lt;&gt;&gt; DiG 9.16.23-RH &lt;&lt;&gt;&gt; -x 192.168.110.9</t>
  </si>
  <si>
    <t>;; -&gt;&gt;HEADER&lt;&lt;- opcode: QUERY, status: NOERROR, id: 26040</t>
  </si>
  <si>
    <t>; COOKIE: e19652ca922c79180100000069d3ab3f7203f8691ffc3099 (good)</t>
  </si>
  <si>
    <t>;9.110.168.192.in-addr.arpa.    IN      PTR</t>
  </si>
  <si>
    <t>9.110.168.192.in-addr.arpa. 86400 IN    PTR     web-test.example.com.</t>
  </si>
  <si>
    <t>;; WHEN: Mon Apr 06 08:46:55 EDT 2026</t>
  </si>
  <si>
    <t>;; MSG SIZE  rcvd: 117</t>
  </si>
  <si>
    <t>[root@web-test ~]# dig web-test.example.com</t>
    <phoneticPr fontId="1"/>
  </si>
  <si>
    <t>; &lt;&lt;&gt;&gt; DiG 9.16.23-RH &lt;&lt;&gt;&gt; ap-test.example.com</t>
  </si>
  <si>
    <t>;; -&gt;&gt;HEADER&lt;&lt;- opcode: QUERY, status: NOERROR, id: 53084</t>
  </si>
  <si>
    <t>; COOKIE: 15a1b0f617d5eafc0100000069d3ab600fa1ef4e5236d23a (good)</t>
  </si>
  <si>
    <t>;ap-test.example.com.           IN      A</t>
  </si>
  <si>
    <t>ap-test.example.com.    86400   IN      A       192.168.110.10</t>
  </si>
  <si>
    <t>;; WHEN: Mon Apr 06 08:47:28 EDT 2026</t>
  </si>
  <si>
    <t>[root@ap-test ~]# dig -x 192.168.110.10</t>
  </si>
  <si>
    <t>; &lt;&lt;&gt;&gt; DiG 9.16.23-RH &lt;&lt;&gt;&gt; -x 192.168.110.10</t>
  </si>
  <si>
    <t>;; -&gt;&gt;HEADER&lt;&lt;- opcode: QUERY, status: NOERROR, id: 13438</t>
  </si>
  <si>
    <t>; COOKIE: 078c585b47aa8c250100000069d3ab6f1c65e511cd922079 (good)</t>
  </si>
  <si>
    <t>;10.110.168.192.in-addr.arpa.   IN      PTR</t>
  </si>
  <si>
    <t>10.110.168.192.in-addr.arpa. 86400 IN   PTR     ap-test.example.com.</t>
  </si>
  <si>
    <t>;; WHEN: Mon Apr 06 08:47:43 EDT 2026</t>
  </si>
  <si>
    <t>[root@ap-test ~]# dig ap-test.example.com</t>
    <phoneticPr fontId="1"/>
  </si>
  <si>
    <t>[root@db-test ~]# dig db-test.example.com</t>
  </si>
  <si>
    <t>; &lt;&lt;&gt;&gt; DiG 9.16.23-RH &lt;&lt;&gt;&gt; db-test.example.com</t>
  </si>
  <si>
    <t>;; -&gt;&gt;HEADER&lt;&lt;- opcode: QUERY, status: NOERROR, id: 61361</t>
  </si>
  <si>
    <t>; COOKIE: 108e7954569d3ca20100000069d3ab898784dae0a6a7d7f9 (good)</t>
  </si>
  <si>
    <t>;db-test.example.com.           IN      A</t>
  </si>
  <si>
    <t>db-test.example.com.    86400   IN      A       192.168.120.7</t>
  </si>
  <si>
    <t>;; WHEN: Mon Apr 06 08:48:09 EDT 2026</t>
  </si>
  <si>
    <t>[root@db-test ~]# dig -x 192.168.120.7</t>
  </si>
  <si>
    <t>; &lt;&lt;&gt;&gt; DiG 9.16.23-RH &lt;&lt;&gt;&gt; -x 192.168.120.7</t>
  </si>
  <si>
    <t>;; -&gt;&gt;HEADER&lt;&lt;- opcode: QUERY, status: NOERROR, id: 886</t>
  </si>
  <si>
    <t>; COOKIE: b9341ec1a52e185b0100000069d3ab955d92a48f3e350e90 (good)</t>
  </si>
  <si>
    <t>;7.120.168.192.in-addr.arpa.    IN      PTR</t>
  </si>
  <si>
    <t>7.120.168.192.in-addr.arpa. 86400 IN    PTR     db-test.example.com.</t>
  </si>
  <si>
    <t>;; Query time: 3 msec</t>
  </si>
  <si>
    <t>;; WHEN: Mon Apr 06 08:48:21 EDT 2026</t>
  </si>
  <si>
    <t>08:38:47.442892 IP 192.168.100.27.34810 &gt; 192.168.100.29.domain: 26085+ [1au] A? dhcp-test.example.com. (62)</t>
  </si>
  <si>
    <t>08:38:47.448026 IP 192.168.100.29.domain &gt; 192.168.100.27.34810: 26085* 1/0/1 A 192.168.100.27 (94)</t>
  </si>
  <si>
    <t>08:39:07.334429 IP 192.168.100.27.41211 &gt; 192.168.100.29.domain: 57404+ [1au] PTR? 27.100.168.192.in-addr.arpa. (68)</t>
  </si>
  <si>
    <t>08:39:07.334619 IP 192.168.100.29.domain &gt; 192.168.100.27.41211: 57404* 1/0/1 PTR dhcp-test.example.com. (119)</t>
  </si>
  <si>
    <t>08:40:37.733881 IP 192.168.100.28.57893 &gt; 192.168.100.29.domain: 19129+ [1au] A? jump-test.example.com. (62)</t>
  </si>
  <si>
    <t>08:40:37.734050 IP 192.168.100.29.domain &gt; 192.168.100.28.57893: 19129* 1/0/1 A 192.168.100.28 (94)</t>
  </si>
  <si>
    <t>08:40:38.460162 IP 192.168.110.8.48719 &gt; 192.168.100.29.domain: 28724+ A? subscription.rhsm.redhat.com. (46)</t>
  </si>
  <si>
    <t>08:40:38.460162 IP 192.168.110.8.48719 &gt; 192.168.100.29.domain: 15417+ AAAA? subscription.rhsm.redhat.com. (46)</t>
  </si>
  <si>
    <t>08:40:38.460937 IP 192.168.100.29.45281 &gt; 8.8.8.8.domain: 36956+ [1au] A? subscription-eipb.rhsm.redhat.com.splitter-eip.akadns.net. (98)</t>
  </si>
  <si>
    <t>08:40:38.461091 IP 192.168.100.29.36471 &gt; 8.8.8.8.domain: 46878+ [1au] AAAA? subscription-eipb.rhsm.redhat.com.splitter-eip.akadns.net. (98)</t>
  </si>
  <si>
    <t>08:40:38.516834 IP 8.8.8.8.domain &gt; 192.168.100.29.36471: 46878 3/0/1 CNAME subscription-eipb.rhsm.redhat.com.eip.akadns.net., CNAME eip-terr-as.subscription-eipb.rhsm.redhat.com.akahost.net., AAAA 2600:14e1:1c:3c:: (234)</t>
  </si>
  <si>
    <t>08:40:38.517212 IP 192.168.100.29.41893 &gt; 8.8.8.8.domain: 39736+ [1au] AAAA? subscription-eipb.rhsm.redhat.com.eip.akadns.net. (89)</t>
  </si>
  <si>
    <t>08:40:38.526304 IP 8.8.8.8.domain &gt; 192.168.100.29.45281: 36956 3/0/1 CNAME subscription-eipb.rhsm.redhat.com.eip.akadns.net., CNAME eip-terr-as.subscription-eipb.rhsm.redhat.com.akahost.net., A 23.11.39.88 (222)</t>
  </si>
  <si>
    <t>08:40:38.526767 IP 192.168.100.29.48162 &gt; 8.8.8.8.domain: 64717+ [1au] A? subscription-eipb.rhsm.redhat.com.eip.akadns.net. (89)</t>
  </si>
  <si>
    <t>08:40:38.546999 IP 8.8.8.8.domain &gt; 192.168.100.29.41893: 39736 2/0/1 CNAME eip-terr-as.subscription-eipb.rhsm.redhat.com.akahost.net., AAAA 2600:14e1:1c:3c:: (173)</t>
  </si>
  <si>
    <t>08:40:38.547381 IP 192.168.100.29.47217 &gt; 8.8.8.8.domain: 12523+ [1au] AAAA? eip-terr-as.subscription-eipb.rhsm.redhat.com.akahost.net. (98)</t>
  </si>
  <si>
    <t>08:40:38.558207 IP 8.8.8.8.domain &gt; 192.168.100.29.48162: 64717 2/0/1 CNAME eip-terr-as.subscription-eipb.rhsm.redhat.com.akahost.net., A 23.11.39.88 (161)</t>
  </si>
  <si>
    <t>08:40:38.558661 IP 192.168.100.29.40312 &gt; 8.8.8.8.domain: 5607+ [1au] A? eip-terr-as.subscription-eipb.rhsm.redhat.com.akahost.net. (98)</t>
  </si>
  <si>
    <t>08:40:38.582675 IP 8.8.8.8.domain &gt; 192.168.100.29.47217: 12523 1/0/1 AAAA 2600:14e1:1c:3c:: (114)</t>
  </si>
  <si>
    <t>08:40:38.583036 IP 192.168.100.29.domain &gt; 192.168.110.8.48719: 15417 5/0/0 CNAME subscription-eipb.rhsm.redhat.com.edgekey.net., CNAME subscription-eipb.rhsm.redhat.com.splitter-eip.akadns.net., CNAME subscription-eipb.rhsm.redhat.com.eip.akadns.net., CNAME eip-terr-as.subscription-eipb.rhsm.redhat.com.akahost.net., AAAA 2600:14e1:1c:3c:: (337)</t>
  </si>
  <si>
    <t>08:40:38.597146 IP 8.8.8.8.domain &gt; 192.168.100.29.40312: 5607 1/0/1 A 23.11.39.88 (102)</t>
  </si>
  <si>
    <t>08:40:38.597404 IP 192.168.100.29.domain &gt; 192.168.110.8.48719: 28724 5/0/0 CNAME subscription-eipb.rhsm.redhat.com.edgekey.net., CNAME subscription-eipb.rhsm.redhat.com.splitter-eip.akadns.net., CNAME subscription-eipb.rhsm.redhat.com.eip.akadns.net., CNAME eip-terr-as.subscription-eipb.rhsm.redhat.com.akahost.net., A 23.11.39.88 (325)</t>
  </si>
  <si>
    <t>08:40:41.391818 IP 192.168.110.8.60049 &gt; 192.168.100.29.domain: 64956+ A? cdn.redhat.com. (32)</t>
  </si>
  <si>
    <t>08:40:41.391819 IP 192.168.110.8.60049 &gt; 192.168.100.29.domain: 63930+ AAAA? cdn.redhat.com. (32)</t>
  </si>
  <si>
    <t>08:40:41.392292 IP 192.168.100.29.33642 &gt; 8.8.8.8.domain: 17751+ [1au] A? cdn-eipb.redhat.com.splitter-eip.akadns.net. (84)</t>
  </si>
  <si>
    <t>08:40:41.392564 IP 192.168.100.29.35068 &gt; 8.8.8.8.domain: 36462+ [1au] AAAA? cdn-eipb.redhat.com.splitter-eip.akadns.net. (84)</t>
  </si>
  <si>
    <t>08:40:41.423530 IP 8.8.8.8.domain &gt; 192.168.100.29.35068: 36462 3/0/1 CNAME cdn-eipb.redhat.com.eip.akadns.net., CNAME eip-terr-as.cdn-eipb.redhat.com.akahost.net., AAAA 2600:1480:e000:1f3:: (192)</t>
  </si>
  <si>
    <t>08:40:41.423620 IP 8.8.8.8.domain &gt; 192.168.100.29.33642: 17751 3/0/1 CNAME cdn-eipb.redhat.com.eip.akadns.net., CNAME eip-terr-as.cdn-eipb.redhat.com.akahost.net., A 23.206.61.92 (180)</t>
  </si>
  <si>
    <t>08:40:41.424165 IP 192.168.100.29.52704 &gt; 8.8.8.8.domain: 3356+ [1au] AAAA? cdn-eipb.redhat.com.eip.akadns.net. (75)</t>
  </si>
  <si>
    <t>08:40:41.424346 IP 192.168.100.29.44771 &gt; 8.8.8.8.domain: 35484+ [1au] A? cdn-eipb.redhat.com.eip.akadns.net. (75)</t>
  </si>
  <si>
    <t>08:40:41.456385 IP 8.8.8.8.domain &gt; 192.168.100.29.44771: 35484 2/0/1 CNAME eip-terr-as.cdn-eipb.redhat.com.akahost.net., A 23.206.61.92 (133)</t>
  </si>
  <si>
    <t>08:40:41.456769 IP 192.168.100.29.33320 &gt; 8.8.8.8.domain: 49280+ [1au] A? eip-terr-as.cdn-eipb.redhat.com.akahost.net. (84)</t>
  </si>
  <si>
    <t>08:40:41.462261 IP 8.8.8.8.domain &gt; 192.168.100.29.52704: 3356 2/0/1 CNAME eip-terr-as.cdn-eipb.redhat.com.akahost.net., AAAA 2600:1480:e000:1f3:: (145)</t>
  </si>
  <si>
    <t>08:40:41.462660 IP 192.168.100.29.53435 &gt; 8.8.8.8.domain: 57922+ [1au] AAAA? eip-terr-as.cdn-eipb.redhat.com.akahost.net. (84)</t>
  </si>
  <si>
    <t>08:40:41.481444 IP 8.8.8.8.domain &gt; 192.168.100.29.33320: 49280 1/0/1 A 23.206.61.92 (88)</t>
  </si>
  <si>
    <t>08:40:41.481736 IP 192.168.100.29.domain &gt; 192.168.110.8.60049: 64956 5/0/0 CNAME cdn-eipb.redhat.com.edgekey.net., CNAME cdn-eipb.redhat.com.splitter-eip.akadns.net., CNAME cdn-eipb.redhat.com.eip.akadns.net., CNAME eip-terr-as.cdn-eipb.redhat.com.akahost.net., A 23.206.61.92 (255)</t>
  </si>
  <si>
    <t>08:40:41.492257 IP 8.8.8.8.domain &gt; 192.168.100.29.53435: 57922 1/0/1 AAAA 2600:1480:e000:1f3:: (100)</t>
  </si>
  <si>
    <t>08:40:41.492599 IP 192.168.100.29.domain &gt; 192.168.110.8.60049: 63930 5/0/0 CNAME cdn-eipb.redhat.com.edgekey.net., CNAME cdn-eipb.redhat.com.splitter-eip.akadns.net., CNAME cdn-eipb.redhat.com.eip.akadns.net., CNAME eip-terr-as.cdn-eipb.redhat.com.akahost.net., AAAA 2600:1480:e000:1f3:: (267)</t>
  </si>
  <si>
    <t>08:40:42.250347 IP 192.168.110.8.47949 &gt; 192.168.100.29.domain: 18865+ A? cdn.redhat.com. (32)</t>
  </si>
  <si>
    <t>08:40:42.250348 IP 192.168.110.8.47949 &gt; 192.168.100.29.domain: 48574+ AAAA? cdn.redhat.com. (32)</t>
  </si>
  <si>
    <t>08:40:42.250555 IP 192.168.100.29.domain &gt; 192.168.110.8.47949: 18865 5/0/0 CNAME cdn-eipb.redhat.com.edgekey.net., CNAME cdn-eipb.redhat.com.splitter-eip.akadns.net., CNAME cdn-eipb.redhat.com.eip.akadns.net., CNAME eip-terr-as.cdn-eipb.redhat.com.akahost.net., A 23.206.61.92 (255)</t>
  </si>
  <si>
    <t>08:40:42.250603 IP 192.168.100.29.domain &gt; 192.168.110.8.47949: 48574 5/0/0 CNAME cdn-eipb.redhat.com.edgekey.net., CNAME cdn-eipb.redhat.com.splitter-eip.akadns.net., CNAME cdn-eipb.redhat.com.eip.akadns.net., CNAME eip-terr-as.cdn-eipb.redhat.com.akahost.net., AAAA 2600:1480:e000:1f3:: (267)</t>
  </si>
  <si>
    <t>08:40:49.458390 IP 192.168.100.28.45708 &gt; 192.168.100.29.domain: 43310+ [1au] PTR? 28.100.168.192.in-addr.arpa. (68)</t>
  </si>
  <si>
    <t>08:40:49.458692 IP 192.168.100.29.domain &gt; 192.168.100.28.45708: 43310* 1/0/1 PTR jump-test.example.com. (119)</t>
  </si>
  <si>
    <t>08:41:35.755746 IP 192.168.120.7.54351 &gt; 192.168.100.29.domain: 16485+ A? subscription.rhsm.redhat.com. (46)</t>
  </si>
  <si>
    <t>08:41:35.755746 IP 192.168.120.7.54351 &gt; 192.168.100.29.domain: 24935+ AAAA? subscription.rhsm.redhat.com. (46)</t>
  </si>
  <si>
    <t>08:41:35.755927 IP 192.168.100.29.domain &gt; 192.168.120.7.54351: 16485 5/0/0 CNAME subscription-eipb.rhsm.redhat.com.edgekey.net., CNAME subscription-eipb.rhsm.redhat.com.splitter-eip.akadns.net., CNAME subscription-eipb.rhsm.redhat.com.eip.akadns.net., CNAME eip-terr-as.subscription-eipb.rhsm.redhat.com.akahost.net., A 23.11.39.88 (325)</t>
  </si>
  <si>
    <t>08:41:35.755976 IP 192.168.100.29.domain &gt; 192.168.120.7.54351: 24935 5/0/0 CNAME subscription-eipb.rhsm.redhat.com.edgekey.net., CNAME subscription-eipb.rhsm.redhat.com.splitter-eip.akadns.net., CNAME subscription-eipb.rhsm.redhat.com.eip.akadns.net., CNAME eip-terr-as.subscription-eipb.rhsm.redhat.com.akahost.net., AAAA 2600:14e1:1c:3c:: (337)</t>
  </si>
  <si>
    <t>08:41:38.976210 IP 192.168.120.7.58758 &gt; 192.168.100.29.domain: 197+ A? cdn.redhat.com. (32)</t>
  </si>
  <si>
    <t>08:41:38.976210 IP 192.168.120.7.58758 &gt; 192.168.100.29.domain: 39642+ AAAA? cdn.redhat.com. (32)</t>
  </si>
  <si>
    <t>08:41:38.976557 IP 192.168.100.29.domain &gt; 192.168.120.7.58758: 39642 5/0/0 CNAME cdn-eipb.redhat.com.edgekey.net., CNAME cdn-eipb.redhat.com.splitter-eip.akadns.net., CNAME cdn-eipb.redhat.com.eip.akadns.net., CNAME eip-terr-as.cdn-eipb.redhat.com.akahost.net., AAAA 2600:1480:e000:1f3:: (267)</t>
  </si>
  <si>
    <t>08:41:38.976961 IP 192.168.100.29.54985 &gt; 8.8.8.8.domain: 31325+ [1au] A? eip-terr-as.cdn-eipb.redhat.com.akahost.net. (84)</t>
  </si>
  <si>
    <t>08:41:39.003877 IP 8.8.8.8.domain &gt; 192.168.100.29.54985: 31325 1/0/1 A 23.206.61.92 (88)</t>
  </si>
  <si>
    <t>08:41:39.004714 IP 192.168.100.29.domain &gt; 192.168.120.7.58758: 197 5/0/0 CNAME cdn-eipb.redhat.com.edgekey.net., CNAME cdn-eipb.redhat.com.splitter-eip.akadns.net., CNAME cdn-eipb.redhat.com.eip.akadns.net., CNAME eip-terr-as.cdn-eipb.redhat.com.akahost.net., A 23.206.61.92 (255)</t>
  </si>
  <si>
    <t>08:41:39.984469 IP 192.168.120.7.33404 &gt; 192.168.100.29.domain: 12964+ A? cdn.redhat.com. (32)</t>
  </si>
  <si>
    <t>08:41:39.984469 IP 192.168.120.7.33404 &gt; 192.168.100.29.domain: 57786+ AAAA? cdn.redhat.com. (32)</t>
  </si>
  <si>
    <t>08:41:39.984713 IP 192.168.100.29.domain &gt; 192.168.120.7.33404: 12964 5/0/0 CNAME cdn-eipb.redhat.com.edgekey.net., CNAME cdn-eipb.redhat.com.splitter-eip.akadns.net., CNAME cdn-eipb.redhat.com.eip.akadns.net., CNAME eip-terr-as.cdn-eipb.redhat.com.akahost.net., A 23.206.61.92 (255)</t>
  </si>
  <si>
    <t>08:41:39.985059 IP 192.168.100.29.60936 &gt; 8.8.8.8.domain: 44660+ [1au] CNAME? cdn-eipb.redhat.com.splitter-eip.akadns.net. (84)</t>
  </si>
  <si>
    <t>08:41:40.018434 IP 8.8.8.8.domain &gt; 192.168.100.29.60936: 44660 1/0/1 CNAME cdn-eipb.redhat.com.eip.akadns.net. (110)</t>
  </si>
  <si>
    <t>08:41:40.068346 IP 192.168.100.29.domain &gt; 192.168.120.7.33404: 57786 5/0/0 CNAME cdn-eipb.redhat.com.edgekey.net., CNAME cdn-eipb.redhat.com.splitter-eip.akadns.net., CNAME cdn-eipb.redhat.com.eip.akadns.net., CNAME eip-terr-as.cdn-eipb.redhat.com.akahost.net., AAAA 2600:1480:e000:1f3:: (267)</t>
  </si>
  <si>
    <t>08:41:40.068675 IP 192.168.100.29.47177 &gt; 8.8.8.8.domain: 56992+ [1au] CNAME? cdn-eipb.redhat.com.eip.akadns.net. (75)</t>
  </si>
  <si>
    <t>08:41:40.104635 IP 8.8.8.8.domain &gt; 192.168.100.29.47177: 56992 1/0/1 CNAME eip-terr-as.cdn-eipb.redhat.com.akahost.net. (117)</t>
  </si>
  <si>
    <t>08:43:23.274422 IP 192.168.100.30.45160 &gt; 192.168.100.29.domain: 49180+ [1au] A? ntp-test.example.com. (61)</t>
  </si>
  <si>
    <t>08:43:23.275777 IP 192.168.100.29.domain &gt; 192.168.100.30.45160: 49180* 1/0/1 A 192.168.100.30 (93)</t>
  </si>
  <si>
    <t>08:43:34.702281 IP 192.168.100.30.60405 &gt; 192.168.100.29.domain: 40644+ [1au] PTR? 30.100.168.192.in-addr.arpa. (68)</t>
  </si>
  <si>
    <t>08:43:34.702569 IP 192.168.100.29.domain &gt; 192.168.100.30.60405: 40644* 1/0/1 PTR ntp-test.example.com. (118)</t>
  </si>
  <si>
    <t>08:44:10.751804 IP 192.168.100.31.32877 &gt; 192.168.100.29.domain: 32349+ [1au] A? syslog-test.example.com. (64)</t>
  </si>
  <si>
    <t>08:44:10.751975 IP 192.168.100.29.domain &gt; 192.168.100.31.32877: 32349* 1/0/1 A 192.168.100.31 (96)</t>
  </si>
  <si>
    <t>08:44:26.186347 IP 192.168.100.31.56860 &gt; 192.168.100.29.domain: 65035+ [1au] PTR? 31.100.168.192.in-addr.arpa. (68)</t>
  </si>
  <si>
    <t>08:44:26.186517 IP 192.168.100.29.domain &gt; 192.168.100.31.56860: 65035* 1/0/1 PTR syslog-test.example.com. (121)</t>
  </si>
  <si>
    <t>08:45:37.086416 IP 192.168.110.8.60887 &gt; 192.168.100.29.domain: 18193+ [1au] A? lb-test.example.com. (60)</t>
  </si>
  <si>
    <t>08:45:37.086592 IP 192.168.100.29.domain &gt; 192.168.110.8.60887: 18193* 1/0/1 A 192.168.110.8 (92)</t>
  </si>
  <si>
    <t>08:45:57.913046 IP 192.168.110.8.33040 &gt; 192.168.100.29.domain: 8046+ [1au] PTR? 8.110.168.192.in-addr.arpa. (67)</t>
  </si>
  <si>
    <t>08:45:57.915453 IP 192.168.100.29.domain &gt; 192.168.110.8.33040: 8046* 1/0/1 PTR lb-test.example.com. (116)</t>
  </si>
  <si>
    <t>08:46:47.905025 IP 192.168.110.9.37192 &gt; 192.168.100.29.domain: 35586+ [1au] A? web-test.example.com. (61)</t>
  </si>
  <si>
    <t>08:46:47.905184 IP 192.168.100.29.domain &gt; 192.168.110.9.37192: 35586* 1/0/1 A 192.168.110.9 (93)</t>
  </si>
  <si>
    <t>08:46:55.730475 IP 192.168.110.9.47446 &gt; 192.168.100.29.domain: 26040+ [1au] PTR? 9.110.168.192.in-addr.arpa. (67)</t>
  </si>
  <si>
    <t>08:46:55.730642 IP 192.168.100.29.domain &gt; 192.168.110.9.47446: 26040* 1/0/1 PTR web-test.example.com. (117)</t>
  </si>
  <si>
    <t>08:47:02.394100 IP 192.168.110.8.39712 &gt; 192.168.100.29.domain: 60735+ A? subscription.rhsm.redhat.com. (46)</t>
  </si>
  <si>
    <t>08:47:02.394100 IP 192.168.110.8.39712 &gt; 192.168.100.29.domain: 51773+ AAAA? subscription.rhsm.redhat.com. (46)</t>
  </si>
  <si>
    <t>08:47:02.394958 IP 192.168.100.29.35702 &gt; 8.8.8.8.domain: 61084+ [1au] A? subscription-eipb.rhsm.redhat.com.splitter-eip.akadns.net. (98)</t>
  </si>
  <si>
    <t>08:47:02.395098 IP 192.168.100.29.51195 &gt; 8.8.8.8.domain: 64109+ [1au] AAAA? subscription-eipb.rhsm.redhat.com.splitter-eip.akadns.net. (98)</t>
  </si>
  <si>
    <t>08:47:02.501342 IP 8.8.8.8.domain &gt; 192.168.100.29.51195: 64109 3/0/1 CNAME subscription-eipb.rhsm.redhat.com.eip.akadns.net., CNAME eip-terr-as.subscription-eipb.rhsm.redhat.com.akahost.net., AAAA 2600:14e1:1c:3c:: (234)</t>
  </si>
  <si>
    <t>08:47:02.501342 IP 8.8.8.8.domain &gt; 192.168.100.29.35702: 61084 3/0/1 CNAME subscription-eipb.rhsm.redhat.com.eip.akadns.net., CNAME eip-terr-as.subscription-eipb.rhsm.redhat.com.akahost.net., A 23.11.39.88 (222)</t>
  </si>
  <si>
    <t>08:47:02.501861 IP 192.168.100.29.58339 &gt; 8.8.8.8.domain: 6812+ [1au] AAAA? subscription-eipb.rhsm.redhat.com.eip.akadns.net. (89)</t>
  </si>
  <si>
    <t>08:47:02.502084 IP 192.168.100.29.56604 &gt; 8.8.8.8.domain: 14777+ [1au] A? subscription-eipb.rhsm.redhat.com.eip.akadns.net. (89)</t>
  </si>
  <si>
    <t>08:47:02.652827 IP 8.8.8.8.domain &gt; 192.168.100.29.58339: 6812 2/0/1 CNAME eip-terr-as.subscription-eipb.rhsm.redhat.com.akahost.net., AAAA 2600:14e1:1c:3c:: (173)</t>
  </si>
  <si>
    <t>08:47:02.653024 IP 8.8.8.8.domain &gt; 192.168.100.29.56604: 14777 2/0/1 CNAME eip-terr-as.subscription-eipb.rhsm.redhat.com.akahost.net., A 23.11.39.88 (161)</t>
  </si>
  <si>
    <t>08:47:02.653457 IP 192.168.100.29.36550 &gt; 8.8.8.8.domain: 28014+ [1au] AAAA? eip-terr-as.subscription-eipb.rhsm.redhat.com.akahost.net. (98)</t>
  </si>
  <si>
    <t>08:47:02.653646 IP 192.168.100.29.46491 &gt; 8.8.8.8.domain: 60101+ [1au] A? eip-terr-as.subscription-eipb.rhsm.redhat.com.akahost.net. (98)</t>
  </si>
  <si>
    <t>08:47:02.683658 IP 8.8.8.8.domain &gt; 192.168.100.29.46491: 60101 1/0/1 A 23.11.39.88 (102)</t>
  </si>
  <si>
    <t>08:47:02.683918 IP 192.168.100.29.domain &gt; 192.168.110.8.39712: 60735 5/0/0 CNAME subscription-eipb.rhsm.redhat.com.edgekey.net., CNAME subscription-eipb.rhsm.redhat.com.splitter-eip.akadns.net., CNAME subscription-eipb.rhsm.redhat.com.eip.akadns.net., CNAME eip-terr-as.subscription-eipb.rhsm.redhat.com.akahost.net., A 23.11.39.88 (325)</t>
  </si>
  <si>
    <t>08:47:02.695150 IP 8.8.8.8.domain &gt; 192.168.100.29.36550: 28014 1/0/1 AAAA 2600:14e1:1c:3c:: (114)</t>
  </si>
  <si>
    <t>08:47:02.695450 IP 192.168.100.29.domain &gt; 192.168.110.8.39712: 51773 5/0/0 CNAME subscription-eipb.rhsm.redhat.com.edgekey.net., CNAME subscription-eipb.rhsm.redhat.com.splitter-eip.akadns.net., CNAME subscription-eipb.rhsm.redhat.com.eip.akadns.net., CNAME eip-terr-as.subscription-eipb.rhsm.redhat.com.akahost.net., AAAA 2600:14e1:1c:3c:: (337)</t>
  </si>
  <si>
    <t>08:47:28.045144 IP 192.168.110.10.39610 &gt; 192.168.100.29.domain: 53084+ [1au] A? ap-test.example.com. (60)</t>
  </si>
  <si>
    <t>08:47:28.045304 IP 192.168.100.29.domain &gt; 192.168.110.10.39610: 53084* 1/0/1 A 192.168.110.10 (92)</t>
  </si>
  <si>
    <t>08:47:43.744310 IP 192.168.110.10.42471 &gt; 192.168.100.29.domain: 13438+ [1au] PTR? 10.110.168.192.in-addr.arpa. (68)</t>
  </si>
  <si>
    <t>08:47:43.744518 IP 192.168.100.29.domain &gt; 192.168.110.10.42471: 13438* 1/0/1 PTR ap-test.example.com. (117)</t>
  </si>
  <si>
    <t>08:48:09.498560 IP 192.168.120.7.42143 &gt; 192.168.100.29.domain: 61361+ [1au] A? db-test.example.com. (60)</t>
  </si>
  <si>
    <t>08:48:09.498779 IP 192.168.100.29.domain &gt; 192.168.120.7.42143: 61361* 1/0/1 A 192.168.120.7 (92)</t>
  </si>
  <si>
    <t>08:48:21.171950 IP 192.168.120.7.51009 &gt; 192.168.100.29.domain: 886+ [1au] PTR? 7.120.168.192.in-addr.arpa. (67)</t>
  </si>
  <si>
    <t>08:48:21.174214 IP 192.168.100.29.domain &gt; 192.168.120.7.51009: 886* 1/0/1 PTR db-test.example.com. (116)</t>
  </si>
  <si>
    <t>[18894.335745] e1000 0000:00:09.0 enp0s9: left promiscuous mode</t>
  </si>
  <si>
    <t>106 packets captured</t>
  </si>
  <si>
    <t>106 packets received by filter</t>
  </si>
  <si>
    <t>08:34:43.084096 IP 192.168.100.26.60797 &gt; 192.168.100.29.domain: 43555+ [1au] A? router-test.example.com. (64)</t>
    <phoneticPr fontId="1"/>
  </si>
  <si>
    <t>08:34:52.153639 IP 192.168.100.29.domain &gt; 192.168.100.26.56961: 15870* 1/0/1 PTR router-test.example.com. (121)</t>
    <phoneticPr fontId="1"/>
  </si>
  <si>
    <t>08:34:43.102985 IP 192.168.100.29.domain &gt; 192.168.100.26.60797: 43555* 1/0/1 A 192.168.100.26 (96)</t>
    <phoneticPr fontId="1"/>
  </si>
  <si>
    <t>08:34:52.153459 IP 192.168.100.26.56961 &gt; 192.168.100.29.domain: 15870+ [1au] PTR? 26.100.168.192.in-addr.arpa. (68)</t>
    <phoneticPr fontId="1"/>
  </si>
  <si>
    <t>問い合わせ対象/問い合わせ結果</t>
    <rPh sb="0" eb="1">
      <t>ト</t>
    </rPh>
    <rPh sb="2" eb="3">
      <t>ア</t>
    </rPh>
    <rPh sb="5" eb="7">
      <t>タイショウ</t>
    </rPh>
    <rPh sb="8" eb="9">
      <t>ト</t>
    </rPh>
    <rPh sb="10" eb="11">
      <t>ア</t>
    </rPh>
    <rPh sb="13" eb="15">
      <t>ケッカ</t>
    </rPh>
    <phoneticPr fontId="1"/>
  </si>
  <si>
    <t>[root@lb-test ~]# tcpdump -i enp0s9 -nn tcp port 443</t>
  </si>
  <si>
    <t>■クライアント側作業ログ_jump-testでcurl実行(https)</t>
    <rPh sb="27" eb="29">
      <t>ジッコウ</t>
    </rPh>
    <phoneticPr fontId="1"/>
  </si>
  <si>
    <t>[root@jump-test ~]# curl -k https://192.168.110.8</t>
    <phoneticPr fontId="1"/>
  </si>
  <si>
    <t>[root@lb-test ~]# tcpdump -i enp0s9 -nn tcp port 80</t>
  </si>
  <si>
    <t>[22500.509308] e1000 0000:00:09.0 enp0s9: entered promiscuous mode</t>
  </si>
  <si>
    <t>09:49:09.311562 IP 192.168.110.8.42164 &gt; 192.168.110.9.80: Flags [S], seq 1802799243, win 64240, options [mss 1460,sackOK,TS val 158938497 ecr 0,nop,wscale 7], length 0</t>
  </si>
  <si>
    <t>09:49:09.311995 IP 192.168.110.9.80 &gt; 192.168.110.8.42164: Flags [R.], seq 0, ack 1802799244, win 0, length 0</t>
  </si>
  <si>
    <t>09:49:11.315613 IP 192.168.110.8.57092 &gt; 192.168.110.9.80: Flags [S], seq 1815191212, win 64240, options [mss 1460,sackOK,TS val 158940501 ecr 0,nop,wscale 7], length 0</t>
  </si>
  <si>
    <t>09:49:11.316086 IP 192.168.110.9.80 &gt; 192.168.110.8.57092: Flags [R.], seq 0, ack 1815191213, win 0, length 0</t>
  </si>
  <si>
    <t>09:49:13.319060 IP 192.168.110.8.57104 &gt; 192.168.110.9.80: Flags [S], seq 815432146, win 64240, options [mss 1460,sackOK,TS val 158942505 ecr 0,nop,wscale 7], length 0</t>
  </si>
  <si>
    <t>09:49:13.319471 IP 192.168.110.9.80 &gt; 192.168.110.8.57104: Flags [R.], seq 0, ack 815432147, win 0, length 0</t>
  </si>
  <si>
    <t>09:49:15.321905 IP 192.168.110.8.57108 &gt; 192.168.110.9.80: Flags [S], seq 569128323, win 64240, options [mss 1460,sackOK,TS val 158944508 ecr 0,nop,wscale 7], length 0</t>
  </si>
  <si>
    <t>09:49:15.322373 IP 192.168.110.9.80 &gt; 192.168.110.8.57108: Flags [R.], seq 0, ack 569128324, win 0, length 0</t>
  </si>
  <si>
    <t>09:49:17.326127 IP 192.168.110.8.57110 &gt; 192.168.110.9.80: Flags [S], seq 3833364019, win 64240, options [mss 1460,sackOK,TS val 158946512 ecr 0,nop,wscale 7], length 0</t>
  </si>
  <si>
    <t>09:49:17.326712 IP 192.168.110.9.80 &gt; 192.168.110.8.57110: Flags [R.], seq 0, ack 3833364020, win 0, length 0</t>
  </si>
  <si>
    <t>[22510.599214] e1000 0000:00:09.0 enp0s9: left promiscuous mode</t>
  </si>
  <si>
    <t>■サーバー側作業ログ_tcpdump取得(https)</t>
    <phoneticPr fontId="1"/>
  </si>
  <si>
    <t>■サーバー側作業ログ_tcpdump取得(http)</t>
    <phoneticPr fontId="1"/>
  </si>
  <si>
    <t>■クライアント側作業ログ_jump-testでcurl実行(http)</t>
    <rPh sb="27" eb="29">
      <t>ジッコウ</t>
    </rPh>
    <phoneticPr fontId="1"/>
  </si>
  <si>
    <t>※未実行でもtcpdumpでパケットキャプチャ可能なため証跡取得不要。Httpは常時通信が発生している模様。</t>
    <rPh sb="1" eb="4">
      <t>ミジッコウ</t>
    </rPh>
    <rPh sb="23" eb="25">
      <t>カノウ</t>
    </rPh>
    <rPh sb="28" eb="30">
      <t>ショウセキ</t>
    </rPh>
    <rPh sb="30" eb="32">
      <t>シュトク</t>
    </rPh>
    <rPh sb="32" eb="34">
      <t>フヨウ</t>
    </rPh>
    <rPh sb="40" eb="42">
      <t>ジョウジ</t>
    </rPh>
    <rPh sb="42" eb="44">
      <t>ツウシン</t>
    </rPh>
    <rPh sb="45" eb="47">
      <t>ハッセイ</t>
    </rPh>
    <rPh sb="51" eb="53">
      <t>モヨウ</t>
    </rPh>
    <phoneticPr fontId="1"/>
  </si>
  <si>
    <t>本シートに登場する「■サーバー側作業ログ_tcpdump取得(https)」の青字部分を以下の表で整理している。</t>
    <rPh sb="0" eb="1">
      <t>ホン</t>
    </rPh>
    <rPh sb="5" eb="7">
      <t>トウジョウ</t>
    </rPh>
    <rPh sb="15" eb="16">
      <t>ガワ</t>
    </rPh>
    <rPh sb="16" eb="18">
      <t>サギョウ</t>
    </rPh>
    <rPh sb="28" eb="30">
      <t>シュトク</t>
    </rPh>
    <rPh sb="39" eb="41">
      <t>アオジ</t>
    </rPh>
    <rPh sb="41" eb="43">
      <t>ブブン</t>
    </rPh>
    <rPh sb="44" eb="46">
      <t>イカ</t>
    </rPh>
    <rPh sb="47" eb="48">
      <t>ヒョウ</t>
    </rPh>
    <rPh sb="49" eb="51">
      <t>セイリ</t>
    </rPh>
    <phoneticPr fontId="1"/>
  </si>
  <si>
    <t>[22971.537674] e1000 0000:00:09.0 enp0s9: entered promiscuous mode</t>
  </si>
  <si>
    <t>09:57:10.985217 IP 192.168.100.28.56328 &gt; 192.168.110.8.443: Flags [S], seq 2833611589, win 64240, options [mss 1460,sackOK,TS val 1511677727 ecr 0,nop,wscale 7], length 0</t>
  </si>
  <si>
    <t>09:57:10.985263 IP 192.168.110.8.443 &gt; 192.168.100.28.56328: Flags [S.], seq 1792843407, ack 2833611590, win 65160, options [mss 1460,sackOK,TS val 848081295 ecr 1511677727,nop,wscale 7], length 0</t>
  </si>
  <si>
    <t>09:57:10.985972 IP 192.168.100.28.56328 &gt; 192.168.110.8.443: Flags [.], ack 1, win 502, options [nop,nop,TS val 1511677727 ecr 848081295], length 0</t>
  </si>
  <si>
    <t>09:57:11.041519 IP 192.168.100.28.56328 &gt; 192.168.110.8.443: Flags [P.], seq 1:518, ack 1, win 502, options [nop,nop,TS val 1511677783 ecr 848081295], length 517</t>
  </si>
  <si>
    <t>09:57:11.042405 IP 192.168.110.8.443 &gt; 192.168.100.28.56328: Flags [P.], seq 1:1659, ack 518, win 506, options [nop,nop,TS val 848081352 ecr 1511677783], length 1658</t>
  </si>
  <si>
    <t>09:57:11.043177 IP 192.168.100.28.56328 &gt; 192.168.110.8.443: Flags [.], ack 1659, win 490, options [nop,nop,TS val 1511677785 ecr 848081352], length 0</t>
  </si>
  <si>
    <t>09:57:11.077811 IP 192.168.100.28.56328 &gt; 192.168.110.8.443: Flags [P.], seq 518:598, ack 1659, win 490, options [nop,nop,TS val 1511677819 ecr 848081352], length 80</t>
  </si>
  <si>
    <t>09:57:11.077812 IP 192.168.100.28.56328 &gt; 192.168.110.8.443: Flags [P.], seq 598:644, ack 1659, win 490, options [nop,nop,TS val 1511677819 ecr 848081352], length 46</t>
  </si>
  <si>
    <t>09:57:11.077812 IP 192.168.100.28.56328 &gt; 192.168.110.8.443: Flags [P.], seq 644:693, ack 1659, win 490, options [nop,nop,TS val 1511677819 ecr 848081352], length 49</t>
  </si>
  <si>
    <t>09:57:11.078050 IP 192.168.110.8.443 &gt; 192.168.100.28.56328: Flags [P.], seq 1659:1914, ack 693, win 505, options [nop,nop,TS val 848081388 ecr 1511677819], length 255</t>
  </si>
  <si>
    <t>09:57:11.078161 IP 192.168.100.28.56328 &gt; 192.168.110.8.443: Flags [P.], seq 693:788, ack 1659, win 490, options [nop,nop,TS val 1511677819 ecr 848081352], length 95</t>
  </si>
  <si>
    <t>09:57:11.078177 IP 192.168.110.8.443 &gt; 192.168.100.28.56328: Flags [P.], seq 1914:2169, ack 788, win 505, options [nop,nop,TS val 848081388 ecr 1511677819], length 255</t>
  </si>
  <si>
    <t>09:57:11.078286 IP 192.168.110.8.443 &gt; 192.168.100.28.56328: Flags [P.], seq 2169:2227, ack 788, win 505, options [nop,nop,TS val 848081388 ecr 1511677819], length 58</t>
  </si>
  <si>
    <t>09:57:11.079049 IP 192.168.100.28.56328 &gt; 192.168.110.8.443: Flags [.], ack 2227, win 486, options [nop,nop,TS val 1511677821 ecr 848081388], length 0</t>
  </si>
  <si>
    <t>09:57:11.079049 IP 192.168.100.28.56328 &gt; 192.168.110.8.443: Flags [P.], seq 788:819, ack 2227, win 486, options [nop,nop,TS val 1511677821 ecr 848081388], length 31</t>
  </si>
  <si>
    <t>09:57:11.079280 IP 192.168.110.8.443 &gt; 192.168.100.28.56328: Flags [P.], seq 2227:2484, ack 819, win 505, options [nop,nop,TS val 848081389 ecr 1511677821], length 257</t>
  </si>
  <si>
    <t>09:57:11.080453 IP 192.168.100.28.56328 &gt; 192.168.110.8.443: Flags [P.], seq 819:843, ack 2484, win 484, options [nop,nop,TS val 1511677822 ecr 848081389], length 24</t>
  </si>
  <si>
    <t>09:57:11.080530 IP 192.168.110.8.443 &gt; 192.168.100.28.56328: Flags [P.], seq 2484:2508, ack 843, win 505, options [nop,nop,TS val 848081390 ecr 1511677822], length 24</t>
  </si>
  <si>
    <t>09:57:11.080565 IP 192.168.110.8.443 &gt; 192.168.100.28.56328: Flags [F.], seq 2508, ack 843, win 505, options [nop,nop,TS val 848081390 ecr 1511677822], length 0</t>
  </si>
  <si>
    <t>09:57:11.081490 IP 192.168.100.28.56328 &gt; 192.168.110.8.443: Flags [R.], seq 843, ack 2509, win 484, options [nop,nop,TS val 1511677823 ecr 848081390], length 0</t>
  </si>
  <si>
    <t>[22989.211072] e1000 0000:00:09.0 enp0s9: left promiscuous mode</t>
  </si>
  <si>
    <t>20 packets captured</t>
  </si>
  <si>
    <t>20 packets received by filter</t>
  </si>
  <si>
    <t>&lt;html&gt;</t>
    <phoneticPr fontId="1"/>
  </si>
  <si>
    <t xml:space="preserve">  &lt;head&gt;&lt;title&gt;web-test OK&lt;/title&gt;&lt;/head&gt;</t>
    <phoneticPr fontId="1"/>
  </si>
  <si>
    <t xml:space="preserve">  &lt;body&gt;</t>
    <phoneticPr fontId="1"/>
  </si>
  <si>
    <t xml:space="preserve">    &lt;h1&gt;web-test: OK&lt;/h1&gt;</t>
    <phoneticPr fontId="1"/>
  </si>
  <si>
    <t xml:space="preserve">  &lt;/body&gt;</t>
    <phoneticPr fontId="1"/>
  </si>
  <si>
    <t>&lt;/html&gt;</t>
    <phoneticPr fontId="1"/>
  </si>
  <si>
    <t>本シートに登場する「■サーバー側作業ログ_tcpdump取得(http)」の青字部分を以下の表で整理している。</t>
    <rPh sb="0" eb="1">
      <t>ホン</t>
    </rPh>
    <rPh sb="5" eb="7">
      <t>トウジョウ</t>
    </rPh>
    <rPh sb="15" eb="16">
      <t>ガワ</t>
    </rPh>
    <rPh sb="16" eb="18">
      <t>サギョウ</t>
    </rPh>
    <rPh sb="28" eb="30">
      <t>シュトク</t>
    </rPh>
    <rPh sb="38" eb="40">
      <t>アオジ</t>
    </rPh>
    <rPh sb="40" eb="42">
      <t>ブブン</t>
    </rPh>
    <rPh sb="43" eb="45">
      <t>イカ</t>
    </rPh>
    <rPh sb="46" eb="47">
      <t>ヒョウ</t>
    </rPh>
    <rPh sb="48" eb="50">
      <t>セイリ</t>
    </rPh>
    <phoneticPr fontId="1"/>
  </si>
  <si>
    <t>09:57:10.985217 IP 192.168.100.28.56328 &gt; 192.168.110.8.443: Flags [S], seq 2833611589, win 64240, options [mss 1460,sackOK,TS val 1511677727 ecr 0,nop,wscale 7], length 0</t>
    <phoneticPr fontId="1"/>
  </si>
  <si>
    <t>09:57:10.985972 IP 192.168.100.28.56328 &gt; 192.168.110.8.443: Flags [.], ack 1, win 502, options [nop,nop,TS val 1511677727 ecr 848081295], length 0</t>
    <phoneticPr fontId="1"/>
  </si>
  <si>
    <t>09:57:11.042405 IP 192.168.110.8.443 &gt; 192.168.100.28.56328: Flags [P.], seq 1:1659, ack 518, win 506, options [nop,nop,TS val 848081352 ecr 1511677783], length 1658</t>
    <phoneticPr fontId="1"/>
  </si>
  <si>
    <t>09:57:11.043177 IP 192.168.100.28.56328 &gt; 192.168.110.8.443: Flags [.], ack 1659, win 490, options [nop,nop,TS val 1511677785 ecr 848081352], length 0</t>
    <phoneticPr fontId="1"/>
  </si>
  <si>
    <t>09:57:11.077811 IP 192.168.100.28.56328 &gt; 192.168.110.8.443: Flags [P.], seq 518:598, ack 1659, win 490, options [nop,nop,TS val 1511677819 ecr 848081352], length 80</t>
    <phoneticPr fontId="1"/>
  </si>
  <si>
    <t>09:57:11.077812 IP 192.168.100.28.56328 &gt; 192.168.110.8.443: Flags [P.], seq 598:644, ack 1659, win 490, options [nop,nop,TS val 1511677819 ecr 848081352], length 46</t>
    <phoneticPr fontId="1"/>
  </si>
  <si>
    <t>09:57:11.077812 IP 192.168.100.28.56328 &gt; 192.168.110.8.443: Flags [P.], seq 644:693, ack 1659, win 490, options [nop,nop,TS val 1511677819 ecr 848081352], length 49</t>
    <phoneticPr fontId="1"/>
  </si>
  <si>
    <t>09:57:11.078050 IP 192.168.110.8.443 &gt; 192.168.100.28.56328: Flags [P.], seq 1659:1914, ack 693, win 505, options [nop,nop,TS val 848081388 ecr 1511677819], length 255</t>
    <phoneticPr fontId="1"/>
  </si>
  <si>
    <t>09:57:11.078161 IP 192.168.100.28.56328 &gt; 192.168.110.8.443: Flags [P.], seq 693:788, ack 1659, win 490, options [nop,nop,TS val 1511677819 ecr 848081352], length 95</t>
    <phoneticPr fontId="1"/>
  </si>
  <si>
    <t>09:57:10.985263 IP 192.168.110.8.443 &gt; 192.168.100.28.56328: Flags [S.], seq 1792843407, ack 2833611590, win 65160, options [mss 1460,sackOK,TS val 848081295 ecr 1511677727,nop,wscale 7], length 0</t>
    <phoneticPr fontId="1"/>
  </si>
  <si>
    <t>09:57:11.080565 IP 192.168.110.8.443 &gt; 192.168.100.28.56328: Flags [F.], seq 2508, ack 843, win 505, options [nop,nop,TS val 848081390 ecr 1511677822], length 0</t>
    <phoneticPr fontId="1"/>
  </si>
  <si>
    <t>09:57:11.081490 IP 192.168.100.28.56328 &gt; 192.168.110.8.443: Flags [R.], seq 843, ack 2509, win 484, options [nop,nop,TS val 1511677823 ecr 848081390], length 0</t>
    <phoneticPr fontId="1"/>
  </si>
  <si>
    <t>09:57:11.080530 IP 192.168.110.8.443 &gt; 192.168.100.28.56328: Flags [P.], seq 2484:2508, ack 843, win 505, options [nop,nop,TS val 848081390 ecr 1511677822], length 24</t>
    <phoneticPr fontId="1"/>
  </si>
  <si>
    <t>09:57:11.041519 IP 192.168.100.28.56328 &gt; 192.168.110.8.443: Flags [P.], seq 1:518, ack 1, win 502, options [nop,nop,TS val 1511677783 ecr 848081295], length 517</t>
    <phoneticPr fontId="1"/>
  </si>
  <si>
    <t>09:57:11.078177 IP 192.168.110.8.443 &gt; 192.168.100.28.56328: Flags [P.], seq 1914:2169, ack 788, win 505, options [nop,nop,TS val 848081388 ecr 1511677819], length 255</t>
    <phoneticPr fontId="1"/>
  </si>
  <si>
    <t>09:57:11.078286 IP 192.168.110.8.443 &gt; 192.168.100.28.56328: Flags [P.], seq 2169:2227, ack 788, win 505, options [nop,nop,TS val 848081388 ecr 1511677819], length 58</t>
    <phoneticPr fontId="1"/>
  </si>
  <si>
    <t>09:57:11.079049 IP 192.168.100.28.56328 &gt; 192.168.110.8.443: Flags [.], ack 2227, win 486, options [nop,nop,TS val 1511677821 ecr 848081388], length 0</t>
    <phoneticPr fontId="1"/>
  </si>
  <si>
    <t>09:57:11.079049 IP 192.168.100.28.56328 &gt; 192.168.110.8.443: Flags [P.], seq 788:819, ack 2227, win 486, options [nop,nop,TS val 1511677821 ecr 848081388], length 31</t>
    <phoneticPr fontId="1"/>
  </si>
  <si>
    <t>09:57:11.079280 IP 192.168.110.8.443 &gt; 192.168.100.28.56328: Flags [P.], seq 2227:2484, ack 819, win 505, options [nop,nop,TS val 848081389 ecr 1511677821], length 257</t>
    <phoneticPr fontId="1"/>
  </si>
  <si>
    <t>09:57:11.080453 IP 192.168.100.28.56328 &gt; 192.168.110.8.443: Flags [P.], seq 819:843, ack 2484, win 484, options [nop,nop,TS val 1511677822 ecr 848081389], length 24</t>
    <phoneticPr fontId="1"/>
  </si>
  <si>
    <t>■tcpdump実行結果(サマリ)_https</t>
    <rPh sb="8" eb="12">
      <t>ジッコウケッカ</t>
    </rPh>
    <phoneticPr fontId="1"/>
  </si>
  <si>
    <t>■tcpdump実行結果(サマリ)_http</t>
    <rPh sb="8" eb="12">
      <t>ジッコウケッカ</t>
    </rPh>
    <phoneticPr fontId="1"/>
  </si>
  <si>
    <t>09:49:09.311562 IP 192.168.110.8.42164 &gt; 192.168.110.9.80: Flags [S], seq 1802799243, win 64240, options [mss 1460,sackOK,TS val 158938497 ecr 0,nop,wscale 7], length 0</t>
    <phoneticPr fontId="1"/>
  </si>
  <si>
    <t>09:49:09.311995 IP 192.168.110.9.80 &gt; 192.168.110.8.42164: Flags [R.], seq 0, ack 1802799244, win 0, length 0</t>
    <phoneticPr fontId="1"/>
  </si>
  <si>
    <t>09:49:11.315613 IP 192.168.110.8.57092 &gt; 192.168.110.9.80: Flags [S], seq 1815191212, win 64240, options [mss 1460,sackOK,TS val 158940501 ecr 0,nop,wscale 7], length 0</t>
    <phoneticPr fontId="1"/>
  </si>
  <si>
    <t>09:49:11.316086 IP 192.168.110.9.80 &gt; 192.168.110.8.57092: Flags [R.], seq 0, ack 1815191213, win 0, length 0</t>
    <phoneticPr fontId="1"/>
  </si>
  <si>
    <t>09:49:13.319060 IP 192.168.110.8.57104 &gt; 192.168.110.9.80: Flags [S], seq 815432146, win 64240, options [mss 1460,sackOK,TS val 158942505 ecr 0,nop,wscale 7], length 0</t>
    <phoneticPr fontId="1"/>
  </si>
  <si>
    <t>09:49:13.319471 IP 192.168.110.9.80 &gt; 192.168.110.8.57104: Flags [R.], seq 0, ack 815432147, win 0, length 0</t>
    <phoneticPr fontId="1"/>
  </si>
  <si>
    <t>09:49:15.321905 IP 192.168.110.8.57108 &gt; 192.168.110.9.80: Flags [S], seq 569128323, win 64240, options [mss 1460,sackOK,TS val 158944508 ecr 0,nop,wscale 7], length 0</t>
    <phoneticPr fontId="1"/>
  </si>
  <si>
    <t>09:49:15.322373 IP 192.168.110.9.80 &gt; 192.168.110.8.57108: Flags [R.], seq 0, ack 569128324, win 0, length 0</t>
    <phoneticPr fontId="1"/>
  </si>
  <si>
    <t>09:49:17.326127 IP 192.168.110.8.57110 &gt; 192.168.110.9.80: Flags [S], seq 3833364019, win 64240, options [mss 1460,sackOK,TS val 158946512 ecr 0,nop,wscale 7], length 0</t>
    <phoneticPr fontId="1"/>
  </si>
  <si>
    <t>09:49:17.326712 IP 192.168.110.9.80 &gt; 192.168.110.8.57110: Flags [R.], seq 0, ack 3833364020, win 0, length 0</t>
    <phoneticPr fontId="1"/>
  </si>
  <si>
    <t>[root@ap-test ~]# tcpdump -i enp0s9 -nn tcp port 8080</t>
  </si>
  <si>
    <t>[  305.054600] e1000 0000:00:09.0 enp0s9: entered promiscuous mode</t>
  </si>
  <si>
    <t>19:56:16.100239 IP 192.168.110.9.44914 &gt; 192.168.110.10.8080: Flags [S], seq 881588604, win 64240, options [mss 1460,sackOK,TS val 2622208993 ecr 0,nop,wscale 7], length 0</t>
  </si>
  <si>
    <t>19:56:16.100297 IP 192.168.110.10.8080 &gt; 192.168.110.9.44914: Flags [S.], seq 737748175, ack 881588605, win 65160, options [mss 1460,sackOK,TS val 2375460092 ecr 2622208993,nop,wscale 7], length 0</t>
  </si>
  <si>
    <t>19:56:16.100545 IP 192.168.110.9.44914 &gt; 192.168.110.10.8080: Flags [.], ack 1, win 502, options [nop,nop,TS val 2622208994 ecr 2375460092], length 0</t>
  </si>
  <si>
    <t>19:56:16.100690 IP 192.168.110.9.44914 &gt; 192.168.110.10.8080: Flags [P.], seq 1:195, ack 1, win 502, options [nop,nop,TS val 2622208994 ecr 2375460092], length 194: HTTP: GET /health HTTP/1.0</t>
  </si>
  <si>
    <t>19:56:16.100702 IP 192.168.110.10.8080 &gt; 192.168.110.9.44914: Flags [.], ack 195, win 508, options [nop,nop,TS val 2375460093 ecr 2622208994], length 0</t>
  </si>
  <si>
    <t>19:56:16.216104 IP 192.168.110.10.8080 &gt; 192.168.110.9.44914: Flags [P.], seq 1:160, ack 195, win 508, options [nop,nop,TS val 2375460208 ecr 2622208994], length 159: HTTP: HTTP/1.1 200 OK</t>
  </si>
  <si>
    <t>19:56:16.216168 IP 192.168.110.10.8080 &gt; 192.168.110.9.44914: Flags [F.], seq 160, ack 195, win 508, options [nop,nop,TS val 2375460208 ecr 2622208994], length 0</t>
  </si>
  <si>
    <t>19:56:16.216537 IP 192.168.110.9.44914 &gt; 192.168.110.10.8080: Flags [.], ack 160, win 501, options [nop,nop,TS val 2622209110 ecr 2375460208], length 0</t>
  </si>
  <si>
    <t>19:56:16.216605 IP 192.168.110.9.44914 &gt; 192.168.110.10.8080: Flags [F.], seq 195, ack 161, win 501, options [nop,nop,TS val 2622209110 ecr 2375460208], length 0</t>
  </si>
  <si>
    <t>19:56:16.216618 IP 192.168.110.10.8080 &gt; 192.168.110.9.44914: Flags [.], ack 196, win 508, options [nop,nop,TS val 2375460209 ecr 2622209110], length 0</t>
  </si>
  <si>
    <t>[  404.380779] e1000 0000:00:09.0 enp0s9: left promiscuous mode</t>
  </si>
  <si>
    <t>[root@jump-test ~]# curl http://web-test.example.com/api/health</t>
  </si>
  <si>
    <t>{"status":"ok"}[root@jump-test ~]#</t>
  </si>
  <si>
    <t>19:56:16.100239 IP 192.168.110.9.44914 &gt; 192.168.110.10.8080: Flags [S], seq 881588604, win 64240, options [mss 1460,sackOK,TS val 2622208993 ecr 0,nop,wscale 7], length 0</t>
    <phoneticPr fontId="1"/>
  </si>
  <si>
    <t>19:56:16.216537 IP 192.168.110.9.44914 &gt; 192.168.110.10.8080: Flags [.], ack 160, win 501, options [nop,nop,TS val 2622209110 ecr 2375460208], length 0</t>
    <phoneticPr fontId="1"/>
  </si>
  <si>
    <t>19:56:16.216605 IP 192.168.110.9.44914 &gt; 192.168.110.10.8080: Flags [F.], seq 195, ack 161, win 501, options [nop,nop,TS val 2622209110 ecr 2375460208], length 0</t>
    <phoneticPr fontId="1"/>
  </si>
  <si>
    <t>19:56:16.216618 IP 192.168.110.10.8080 &gt; 192.168.110.9.44914: Flags [.], ack 196, win 508, options [nop,nop,TS val 2375460209 ecr 2622209110], length 0</t>
    <phoneticPr fontId="1"/>
  </si>
  <si>
    <t>[root@ap-test ~]# curl http://ap-test:8080/db-check</t>
  </si>
  <si>
    <t>{"db":"connected"}[root@ap-test ~]#</t>
  </si>
  <si>
    <t>[root@db-test ~]# tcpdump -i enp0s9 -nn tcp port 5432</t>
  </si>
  <si>
    <t>[  995.057800] e1000 0000:00:09.0 enp0s9: entered promiscuous mode</t>
  </si>
  <si>
    <t>20:07:24.641414 IP 192.168.110.10.60860 &gt; 192.168.120.7.5432: Flags [S], seq 850550795, win 64240, options [mss 1460,sackOK,TS val 201993052 ecr 0,nop,wscale 7], length 0</t>
  </si>
  <si>
    <t>20:07:24.641463 IP 192.168.120.7.5432 &gt; 192.168.110.10.60860: Flags [S.], seq 938353220, ack 850550796, win 65160, options [mss 1460,sackOK,TS val 553947573 ecr 201993052,nop,wscale 7], length 0</t>
  </si>
  <si>
    <t>20:07:24.642074 IP 192.168.110.10.60860 &gt; 192.168.120.7.5432: Flags [.], ack 1, win 502, options [nop,nop,TS val 201993053 ecr 553947573], length 0</t>
  </si>
  <si>
    <t>20:07:24.642155 IP 192.168.110.10.60860 &gt; 192.168.120.7.5432: Flags [P.], seq 1:9, ack 1, win 502, options [nop,nop,TS val 201993053 ecr 553947573], length 8</t>
  </si>
  <si>
    <t>20:07:24.642165 IP 192.168.120.7.5432 &gt; 192.168.110.10.60860: Flags [.], ack 9, win 509, options [nop,nop,TS val 553947573 ecr 201993053], length 0</t>
  </si>
  <si>
    <t>20:07:24.643176 IP 192.168.120.7.5432 &gt; 192.168.110.10.60860: Flags [P.], seq 1:2, ack 9, win 509, options [nop,nop,TS val 553947574 ecr 201993053], length 1</t>
  </si>
  <si>
    <t>20:07:24.643949 IP 192.168.110.10.60860 &gt; 192.168.120.7.5432: Flags [.], ack 2, win 502, options [nop,nop,TS val 201993055 ecr 553947574], length 0</t>
  </si>
  <si>
    <t>20:07:24.643949 IP 192.168.110.10.60860 &gt; 192.168.120.7.5432: Flags [P.], seq 9:46, ack 2, win 502, options [nop,nop,TS val 201993055 ecr 553947574], length 37</t>
  </si>
  <si>
    <t>20:07:24.678820 IP 192.168.120.7.5432 &gt; 192.168.110.10.60860: Flags [P.], seq 2:15, ack 46, win 509, options [nop,nop,TS val 553947610 ecr 201993055], length 13</t>
  </si>
  <si>
    <t>20:07:24.720825 IP 192.168.110.10.60860 &gt; 192.168.120.7.5432: Flags [.], ack 15, win 502, options [nop,nop,TS val 201993132 ecr 553947610], length 0</t>
  </si>
  <si>
    <t>20:07:24.786568 IP 192.168.110.10.60860 &gt; 192.168.120.7.5432: Flags [P.], seq 46:87, ack 15, win 502, options [nop,nop,TS val 201993197 ecr 553947610], length 41</t>
  </si>
  <si>
    <t>20:07:24.827453 IP 192.168.120.7.5432 &gt; 192.168.110.10.60860: Flags [.], ack 87, win 509, options [nop,nop,TS val 553947759 ecr 201993197], length 0</t>
  </si>
  <si>
    <t>20:07:24.859482 IP 192.168.120.7.5432 &gt; 192.168.110.10.60860: Flags [P.], seq 15:346, ack 87, win 509, options [nop,nop,TS val 553947791 ecr 201993197], length 331</t>
  </si>
  <si>
    <t>20:07:24.860340 IP 192.168.110.10.60860 &gt; 192.168.120.7.5432: Flags [.], ack 346, win 501, options [nop,nop,TS val 201993271 ecr 553947791], length 0</t>
  </si>
  <si>
    <t>20:07:24.860341 IP 192.168.110.10.60860 &gt; 192.168.120.7.5432: Flags [P.], seq 87:92, ack 346, win 501, options [nop,nop,TS val 201993271 ecr 553947791], length 5</t>
  </si>
  <si>
    <t>20:07:24.860341 IP 192.168.110.10.60860 &gt; 192.168.120.7.5432: Flags [F.], seq 92, ack 346, win 501, options [nop,nop,TS val 201993271 ecr 553947791], length 0</t>
  </si>
  <si>
    <t>20:07:24.860367 IP 192.168.120.7.5432 &gt; 192.168.110.10.60860: Flags [.], ack 92, win 509, options [nop,nop,TS val 553947792 ecr 201993271], length 0</t>
  </si>
  <si>
    <t>20:07:24.861384 IP 192.168.120.7.5432 &gt; 192.168.110.10.60860: Flags [F.], seq 346, ack 93, win 509, options [nop,nop,TS val 553947793 ecr 201993271], length 0</t>
  </si>
  <si>
    <t>20:07:24.862123 IP 192.168.110.10.60860 &gt; 192.168.120.7.5432: Flags [.], ack 347, win 501, options [nop,nop,TS val 201993273 ecr 553947793], length 0</t>
  </si>
  <si>
    <t>[ 1073.449765] e1000 0000:00:09.0 enp0s9: left promiscuous mode</t>
  </si>
  <si>
    <t>19 packets captured</t>
  </si>
  <si>
    <t>19 packets received by filter</t>
  </si>
  <si>
    <t>■クライアント側作業ログ_ap-testでcurl実行</t>
    <phoneticPr fontId="1"/>
  </si>
  <si>
    <t>20:07:24.641463 IP 192.168.120.7.5432 &gt; 192.168.110.10.60860: Flags [S.], seq 938353220, ack 850550796, win 65160, options [mss 1460,sackOK,TS val 553947573 ecr 201993052,nop,wscale 7], length 0</t>
    <phoneticPr fontId="1"/>
  </si>
  <si>
    <t>jump-test⇒ap-test</t>
  </si>
  <si>
    <t>jump-test⇒db-test</t>
  </si>
  <si>
    <t>dns-test⇒8.8.8.8</t>
  </si>
  <si>
    <t>ntp-test⇒8.8.8.8</t>
  </si>
  <si>
    <t>syslog-test⇒8.8.8.8</t>
  </si>
  <si>
    <t>lb-test⇒8.8.8.8</t>
  </si>
  <si>
    <t>db-test⇒8.8.8.8</t>
  </si>
  <si>
    <t>通信方向</t>
    <phoneticPr fontId="1"/>
  </si>
  <si>
    <t>router-test⇒jump-test</t>
    <phoneticPr fontId="1"/>
  </si>
  <si>
    <t>dns-test⇒jump-test</t>
    <phoneticPr fontId="1"/>
  </si>
  <si>
    <t>syslog-test⇒jump-test</t>
    <phoneticPr fontId="1"/>
  </si>
  <si>
    <t>lb-test⇒jump-test</t>
    <phoneticPr fontId="1"/>
  </si>
  <si>
    <t>web-test⇒jump-test</t>
    <phoneticPr fontId="1"/>
  </si>
  <si>
    <t>ap-test⇒jump-test</t>
    <phoneticPr fontId="1"/>
  </si>
  <si>
    <t>db-test⇒jump-test</t>
    <phoneticPr fontId="1"/>
  </si>
  <si>
    <t>dhcp-test⇒8.8.8.8</t>
    <phoneticPr fontId="1"/>
  </si>
  <si>
    <t>8.8.8.8⇒dhcp-test</t>
    <phoneticPr fontId="1"/>
  </si>
  <si>
    <t>dhcp-test(router-test)⇒8.8.8.8(NAT)</t>
    <phoneticPr fontId="1"/>
  </si>
  <si>
    <t>8.8.8.8(NAT)⇒dhcp-test(router-test)</t>
    <phoneticPr fontId="1"/>
  </si>
  <si>
    <t>jump-test⇒8.8.8.8</t>
    <phoneticPr fontId="1"/>
  </si>
  <si>
    <t>8.8.8.8⇒jump-test</t>
    <phoneticPr fontId="1"/>
  </si>
  <si>
    <t>jump-test(router-test)⇒8.8.8.8(NAT)</t>
    <phoneticPr fontId="1"/>
  </si>
  <si>
    <t>8.8.8.8(NAT)⇒jump-test(router-test)</t>
    <phoneticPr fontId="1"/>
  </si>
  <si>
    <t>8.8.8.8⇒dns-test</t>
    <phoneticPr fontId="1"/>
  </si>
  <si>
    <t>dns-test(router-test)⇒8.8.8.8(NAT)</t>
    <phoneticPr fontId="1"/>
  </si>
  <si>
    <t>8.8.8.8(NAT)⇒dns-test(router-test)</t>
    <phoneticPr fontId="1"/>
  </si>
  <si>
    <t>8.8.8.8⇒ntp-test</t>
    <phoneticPr fontId="1"/>
  </si>
  <si>
    <t>ntp-test(router-test)⇒8.8.8.8(NAT)</t>
    <phoneticPr fontId="1"/>
  </si>
  <si>
    <t>8.8.8.8(NAT)⇒ntp-test(router-test)</t>
    <phoneticPr fontId="1"/>
  </si>
  <si>
    <t>8.8.8.8⇒syslog-test</t>
    <phoneticPr fontId="1"/>
  </si>
  <si>
    <t>syslog-test(router-test)⇒8.8.8.8(NAT)</t>
    <phoneticPr fontId="1"/>
  </si>
  <si>
    <t>8.8.8.8(NAT)⇒syslog-test(router-test)</t>
    <phoneticPr fontId="1"/>
  </si>
  <si>
    <t>8.8.8.8⇒lb-test</t>
    <phoneticPr fontId="1"/>
  </si>
  <si>
    <t>lb-test(router-test)⇒8.8.8.8(NAT)</t>
    <phoneticPr fontId="1"/>
  </si>
  <si>
    <t>8.8.8.8(NAT)⇒lb-test(router-test)</t>
    <phoneticPr fontId="1"/>
  </si>
  <si>
    <t>web-test⇒8.8.8.8</t>
    <phoneticPr fontId="1"/>
  </si>
  <si>
    <t>8.8.8.8⇒web-test</t>
    <phoneticPr fontId="1"/>
  </si>
  <si>
    <t>web-test(router-test)⇒8.8.8.8(NAT)</t>
    <phoneticPr fontId="1"/>
  </si>
  <si>
    <t>8.8.8.8(NAT)⇒web-test(router-test)</t>
    <phoneticPr fontId="1"/>
  </si>
  <si>
    <t>8.8.8.8⇒ap-test</t>
    <phoneticPr fontId="1"/>
  </si>
  <si>
    <t>ap-test⇒8.8.8.8</t>
    <phoneticPr fontId="1"/>
  </si>
  <si>
    <t>ap-test(router-test)⇒8.8.8.8(NAT)</t>
    <phoneticPr fontId="1"/>
  </si>
  <si>
    <t>8.8.8.8(NAT)⇒ap-test(router-test)</t>
    <phoneticPr fontId="1"/>
  </si>
  <si>
    <t>8.8.8.8⇒db-test</t>
    <phoneticPr fontId="1"/>
  </si>
  <si>
    <t>db-test(router-test)⇒8.8.8.8(NAT)</t>
    <phoneticPr fontId="1"/>
  </si>
  <si>
    <t>8.8.8.8(NAT)⇒db-test(router-test)</t>
    <phoneticPr fontId="1"/>
  </si>
  <si>
    <t>■内部ルーティング作業証跡(jump-testで各サーバーに対してpingを実行。別セグメントへの通信はrouter-testが介入するので、router-test上でもtcpdumpを実行。)</t>
    <rPh sb="1" eb="3">
      <t>ナイブ</t>
    </rPh>
    <rPh sb="9" eb="11">
      <t>サギョウ</t>
    </rPh>
    <rPh sb="11" eb="13">
      <t>ショウセキ</t>
    </rPh>
    <rPh sb="24" eb="25">
      <t>カク</t>
    </rPh>
    <rPh sb="30" eb="31">
      <t>タイ</t>
    </rPh>
    <rPh sb="38" eb="40">
      <t>ジッコウ</t>
    </rPh>
    <rPh sb="41" eb="42">
      <t>ベツ</t>
    </rPh>
    <rPh sb="49" eb="51">
      <t>ツウシン</t>
    </rPh>
    <rPh sb="64" eb="66">
      <t>カイニュウ</t>
    </rPh>
    <rPh sb="82" eb="83">
      <t>ジョウ</t>
    </rPh>
    <rPh sb="93" eb="95">
      <t>ジッコウ</t>
    </rPh>
    <phoneticPr fontId="1"/>
  </si>
  <si>
    <t>jump-test⇒router-test</t>
    <phoneticPr fontId="1"/>
  </si>
  <si>
    <t>○jump-test⇒router-test</t>
    <phoneticPr fontId="1"/>
  </si>
  <si>
    <t>[root@jump-test ~]# ping -c 3 192.168.100.26</t>
  </si>
  <si>
    <t>PING 192.168.100.26 (192.168.100.26) 56(84) bytes of data.</t>
  </si>
  <si>
    <t>64 bytes from 192.168.100.26: icmp_seq=1 ttl=64 time=0.473 ms</t>
  </si>
  <si>
    <t>64 bytes from 192.168.100.26: icmp_seq=2 ttl=64 time=0.483 ms</t>
  </si>
  <si>
    <t>64 bytes from 192.168.100.26: icmp_seq=3 ttl=64 time=0.688 ms</t>
  </si>
  <si>
    <t>--- 192.168.100.26 ping statistics ---</t>
  </si>
  <si>
    <t>3 packets transmitted, 3 received, 0% packet loss, time 2070ms</t>
  </si>
  <si>
    <t>rtt min/avg/max/mdev = 0.473/0.548/0.688/0.099 ms</t>
  </si>
  <si>
    <t>[root@router-test ~]# tcpdump -i enp0s8 -nn icmp</t>
  </si>
  <si>
    <t>[ 3815.737016] e1000 0000:00:08.0 enp0s8: entered promiscuous mode</t>
  </si>
  <si>
    <t>20:53:48.142522 IP 192.168.100.28 &gt; 192.168.100.26: ICMP echo request, id 1, seq 1, length 64</t>
  </si>
  <si>
    <t>20:53:48.142578 IP 192.168.100.26 &gt; 192.168.100.28: ICMP echo reply, id 1, seq 1, length 64</t>
  </si>
  <si>
    <t>20:53:49.188404 IP 192.168.100.28 &gt; 192.168.100.26: ICMP echo request, id 1, seq 2, length 64</t>
  </si>
  <si>
    <t>20:53:49.188433 IP 192.168.100.26 &gt; 192.168.100.28: ICMP echo reply, id 1, seq 2, length 64</t>
  </si>
  <si>
    <t>20:53:50.212848 IP 192.168.100.28 &gt; 192.168.100.26: ICMP echo request, id 1, seq 3, length 64</t>
  </si>
  <si>
    <t>20:53:50.212902 IP 192.168.100.26 &gt; 192.168.100.28: ICMP echo reply, id 1, seq 3, length 64</t>
  </si>
  <si>
    <t>[ 3906.298477] e1000 0000:00:08.0 enp0s8: left promiscuous mode</t>
  </si>
  <si>
    <t>○jump-test⇒dhcp-test</t>
    <phoneticPr fontId="1"/>
  </si>
  <si>
    <t>[root@router-test ~]# tcpdump -i enp0s8 -nn icmp</t>
    <phoneticPr fontId="1"/>
  </si>
  <si>
    <t>[ 4063.372163] e1000 0000:00:09.0 enp0s9: entered promiscuous mode</t>
  </si>
  <si>
    <t>20:57:07.074858 IP 192.168.100.28 &gt; 192.168.100.27: ICMP echo request, id 3, seq 1, length 64</t>
  </si>
  <si>
    <t>20:57:07.074957 IP 192.168.100.27 &gt; 192.168.100.28: ICMP echo reply, id 3, seq 1, length 64</t>
  </si>
  <si>
    <t>20:57:08.100372 IP 192.168.100.28 &gt; 192.168.100.27: ICMP echo request, id 3, seq 2, length 64</t>
  </si>
  <si>
    <t>20:57:08.100406 IP 192.168.100.27 &gt; 192.168.100.28: ICMP echo reply, id 3, seq 2, length 64</t>
  </si>
  <si>
    <t>20:57:09.125220 IP 192.168.100.28 &gt; 192.168.100.27: ICMP echo request, id 3, seq 3, length 64</t>
  </si>
  <si>
    <t>20:57:09.125328 IP 192.168.100.27 &gt; 192.168.100.28: ICMP echo reply, id 3, seq 3, length 64</t>
  </si>
  <si>
    <t>[ 4075.677306] e1000 0000:00:09.0 enp0s9: left promiscuous mode</t>
  </si>
  <si>
    <t>[root@jump-test ~]# ping -c 3 192.168.100.27</t>
  </si>
  <si>
    <t>PING 192.168.100.27 (192.168.100.27) 56(84) bytes of data.</t>
  </si>
  <si>
    <t>64 bytes from 192.168.100.27: icmp_seq=1 ttl=64 time=0.729 ms</t>
  </si>
  <si>
    <t>64 bytes from 192.168.100.27: icmp_seq=2 ttl=64 time=0.482 ms</t>
  </si>
  <si>
    <t>64 bytes from 192.168.100.27: icmp_seq=3 ttl=64 time=0.554 ms</t>
  </si>
  <si>
    <t>--- 192.168.100.27 ping statistics ---</t>
  </si>
  <si>
    <t>3 packets transmitted, 3 received, 0% packet loss, time 2051ms</t>
  </si>
  <si>
    <t>rtt min/avg/max/mdev = 0.482/0.588/0.729/0.103 ms</t>
  </si>
  <si>
    <t>○jump-test⇒dns-test</t>
    <phoneticPr fontId="1"/>
  </si>
  <si>
    <t>[root@dhcp-test ~]# tcpdump -i enp0s9 -nn icmp</t>
    <phoneticPr fontId="1"/>
  </si>
  <si>
    <t>[ 4214.040592] e1000 0000:00:09.0 enp0s9: entered promiscuous mode</t>
  </si>
  <si>
    <t>20:59:51.086530 IP 192.168.100.28 &gt; 192.168.100.29: ICMP echo request, id 4, seq 1, length 64</t>
  </si>
  <si>
    <t>20:59:51.086576 IP 192.168.100.29 &gt; 192.168.100.28: ICMP echo reply, id 4, seq 1, length 64</t>
  </si>
  <si>
    <t>20:59:52.132647 IP 192.168.100.28 &gt; 192.168.100.29: ICMP echo request, id 4, seq 2, length 64</t>
  </si>
  <si>
    <t>20:59:52.132677 IP 192.168.100.29 &gt; 192.168.100.28: ICMP echo reply, id 4, seq 2, length 64</t>
  </si>
  <si>
    <t>20:59:53.156445 IP 192.168.100.28 &gt; 192.168.100.29: ICMP echo request, id 4, seq 3, length 64</t>
  </si>
  <si>
    <t>20:59:53.156475 IP 192.168.100.29 &gt; 192.168.100.28: ICMP echo reply, id 4, seq 3, length 64</t>
  </si>
  <si>
    <t>[ 4229.465975] e1000 0000:00:09.0 enp0s9: left promiscuous mode</t>
  </si>
  <si>
    <t>[root@jump-test ~]# ping -c 3 192.168.100.29</t>
  </si>
  <si>
    <t>PING 192.168.100.29 (192.168.100.29) 56(84) bytes of data.</t>
  </si>
  <si>
    <t>64 bytes from 192.168.100.29: icmp_seq=1 ttl=64 time=0.427 ms</t>
  </si>
  <si>
    <t>64 bytes from 192.168.100.29: icmp_seq=2 ttl=64 time=0.485 ms</t>
  </si>
  <si>
    <t>64 bytes from 192.168.100.29: icmp_seq=3 ttl=64 time=0.448 ms</t>
  </si>
  <si>
    <t>--- 192.168.100.29 ping statistics ---</t>
  </si>
  <si>
    <t>rtt min/avg/max/mdev = 0.427/0.453/0.485/0.023 ms</t>
  </si>
  <si>
    <t>○jump-test⇒ntp-test</t>
    <phoneticPr fontId="1"/>
  </si>
  <si>
    <t>[root@dns-test ~]# tcpdump -i enp0s9 -nn icmp</t>
    <phoneticPr fontId="1"/>
  </si>
  <si>
    <t>[ 4276.354112] e1000 0000:00:09.0 enp0s9: entered promiscuous mode</t>
  </si>
  <si>
    <t>21:01:02.014428 IP 192.168.100.28 &gt; 192.168.100.30: ICMP echo request, id 5, seq 1, length 64</t>
  </si>
  <si>
    <t>21:01:02.014473 IP 192.168.100.30 &gt; 192.168.100.28: ICMP echo reply, id 5, seq 1, length 64</t>
  </si>
  <si>
    <t>21:01:03.045036 IP 192.168.100.28 &gt; 192.168.100.30: ICMP echo request, id 5, seq 2, length 64</t>
  </si>
  <si>
    <t>21:01:03.045067 IP 192.168.100.30 &gt; 192.168.100.28: ICMP echo reply, id 5, seq 2, length 64</t>
  </si>
  <si>
    <t>21:01:04.069002 IP 192.168.100.28 &gt; 192.168.100.30: ICMP echo request, id 5, seq 3, length 64</t>
  </si>
  <si>
    <t>21:01:04.069051 IP 192.168.100.30 &gt; 192.168.100.28: ICMP echo reply, id 5, seq 3, length 64</t>
  </si>
  <si>
    <t>[ 4292.883521] e1000 0000:00:09.0 enp0s9: left promiscuous mode</t>
  </si>
  <si>
    <t>[root@jump-test ~]# ping -c 3 192.168.100.30</t>
  </si>
  <si>
    <t>PING 192.168.100.30 (192.168.100.30) 56(84) bytes of data.</t>
  </si>
  <si>
    <t>64 bytes from 192.168.100.30: icmp_seq=1 ttl=64 time=0.385 ms</t>
  </si>
  <si>
    <t>64 bytes from 192.168.100.30: icmp_seq=2 ttl=64 time=0.434 ms</t>
  </si>
  <si>
    <t>64 bytes from 192.168.100.30: icmp_seq=3 ttl=64 time=0.472 ms</t>
  </si>
  <si>
    <t>--- 192.168.100.30 ping statistics ---</t>
  </si>
  <si>
    <t>3 packets transmitted, 3 received, 0% packet loss, time 2055ms</t>
  </si>
  <si>
    <t>rtt min/avg/max/mdev = 0.385/0.430/0.472/0.035 ms</t>
  </si>
  <si>
    <t>○jump-test⇒syslog-test</t>
    <phoneticPr fontId="1"/>
  </si>
  <si>
    <t>[root@ntp-test ~]# tcpdump -i enp0s9 -nn icmp</t>
    <phoneticPr fontId="1"/>
  </si>
  <si>
    <t>[root@syslog-test ~]# tcpdump -i enp0s9 -nn icmp</t>
  </si>
  <si>
    <t>[ 4369.335827] e1000 0000:00:09.0 enp0s9: entered promiscuous mode</t>
  </si>
  <si>
    <t>21:02:32.808917 IP 192.168.100.28 &gt; 192.168.100.31: ICMP echo request, id 6, seq 1, length 64</t>
  </si>
  <si>
    <t>21:02:32.808973 IP 192.168.100.31 &gt; 192.168.100.28: ICMP echo reply, id 6, seq 1, length 64</t>
  </si>
  <si>
    <t>21:02:33.860392 IP 192.168.100.28 &gt; 192.168.100.31: ICMP echo request, id 6, seq 2, length 64</t>
  </si>
  <si>
    <t>21:02:33.860420 IP 192.168.100.31 &gt; 192.168.100.28: ICMP echo reply, id 6, seq 2, length 64</t>
  </si>
  <si>
    <t>21:02:34.884856 IP 192.168.100.28 &gt; 192.168.100.31: ICMP echo request, id 6, seq 3, length 64</t>
  </si>
  <si>
    <t>21:02:34.884904 IP 192.168.100.31 &gt; 192.168.100.28: ICMP echo reply, id 6, seq 3, length 64</t>
  </si>
  <si>
    <t>[ 4381.149485] e1000 0000:00:09.0 enp0s9: left promiscuous mode</t>
  </si>
  <si>
    <t>[root@jump-test ~]# ping -c 3 192.168.100.31</t>
  </si>
  <si>
    <t>PING 192.168.100.31 (192.168.100.31) 56(84) bytes of data.</t>
  </si>
  <si>
    <t>64 bytes from 192.168.100.31: icmp_seq=1 ttl=64 time=0.449 ms</t>
  </si>
  <si>
    <t>64 bytes from 192.168.100.31: icmp_seq=2 ttl=64 time=0.519 ms</t>
  </si>
  <si>
    <t>64 bytes from 192.168.100.31: icmp_seq=3 ttl=64 time=0.679 ms</t>
  </si>
  <si>
    <t>--- 192.168.100.31 ping statistics ---</t>
  </si>
  <si>
    <t>rtt min/avg/max/mdev = 0.449/0.549/0.679/0.096 ms</t>
  </si>
  <si>
    <t>○jump-test⇒lb-test</t>
    <phoneticPr fontId="1"/>
  </si>
  <si>
    <t>[ 4478.172882] e1000 0000:00:09.0 enp0s9: entered promiscuous mode</t>
  </si>
  <si>
    <t>21:04:25.886203 IP 192.168.100.28 &gt; 192.168.110.8: ICMP echo request, id 7, seq 1, length 64</t>
  </si>
  <si>
    <t>21:04:25.886288 IP 192.168.110.8 &gt; 192.168.100.28: ICMP echo reply, id 7, seq 1, length 64</t>
  </si>
  <si>
    <t>21:04:26.887990 IP 192.168.100.28 &gt; 192.168.110.8: ICMP echo request, id 7, seq 2, length 64</t>
  </si>
  <si>
    <t>21:04:26.888035 IP 192.168.110.8 &gt; 192.168.100.28: ICMP echo reply, id 7, seq 2, length 64</t>
  </si>
  <si>
    <t>21:04:27.889059 IP 192.168.100.28 &gt; 192.168.110.8: ICMP echo request, id 7, seq 3, length 64</t>
  </si>
  <si>
    <t>21:04:27.889104 IP 192.168.110.8 &gt; 192.168.100.28: ICMP echo reply, id 7, seq 3, length 64</t>
  </si>
  <si>
    <t>[ 4492.522056] e1000 0000:00:09.0 enp0s9: left promiscuous mode</t>
  </si>
  <si>
    <t>[root@jump-test ~]# ping -c 3 192.168.110.8</t>
  </si>
  <si>
    <t>PING 192.168.110.8 (192.168.110.8) 56(84) bytes of data.</t>
  </si>
  <si>
    <t>64 bytes from 192.168.110.8: icmp_seq=1 ttl=63 time=1.10 ms</t>
  </si>
  <si>
    <t>64 bytes from 192.168.110.8: icmp_seq=2 ttl=63 time=0.935 ms</t>
  </si>
  <si>
    <t>64 bytes from 192.168.110.8: icmp_seq=3 ttl=63 time=0.909 ms</t>
  </si>
  <si>
    <t>--- 192.168.110.8 ping statistics ---</t>
  </si>
  <si>
    <t>rtt min/avg/max/mdev = 0.909/0.981/1.099/0.084 ms</t>
  </si>
  <si>
    <t>○jump-test⇒web-test</t>
    <phoneticPr fontId="1"/>
  </si>
  <si>
    <t>[root@lb-test ~]# tcpdump -i enp0s9 -nn icmp</t>
    <phoneticPr fontId="1"/>
  </si>
  <si>
    <t>[root@web-test ~]# tcpdump -i enp0s9 -nn icmp</t>
  </si>
  <si>
    <t>[ 4609.465274] e1000 0000:00:09.0 enp0s9: entered promiscuous mode</t>
  </si>
  <si>
    <t>21:06:39.389036 IP 192.168.100.28 &gt; 192.168.110.9: ICMP echo request, id 8, seq 1, length 64</t>
  </si>
  <si>
    <t>21:06:39.389073 IP 192.168.110.9 &gt; 192.168.100.28: ICMP echo reply, id 8, seq 1, length 64</t>
  </si>
  <si>
    <t>21:06:40.453337 IP 192.168.100.28 &gt; 192.168.110.9: ICMP echo request, id 8, seq 2, length 64</t>
  </si>
  <si>
    <t>21:06:40.453366 IP 192.168.110.9 &gt; 192.168.100.28: ICMP echo reply, id 8, seq 2, length 64</t>
  </si>
  <si>
    <t>21:06:41.477530 IP 192.168.100.28 &gt; 192.168.110.9: ICMP echo request, id 8, seq 3, length 64</t>
  </si>
  <si>
    <t>21:06:41.477558 IP 192.168.110.9 &gt; 192.168.100.28: ICMP echo reply, id 8, seq 3, length 64</t>
  </si>
  <si>
    <t>[ 4623.633165] e1000 0000:00:09.0 enp0s9: left promiscuous mode</t>
  </si>
  <si>
    <t>[root@jump-test ~]# ping -c 3 192.168.110.9</t>
  </si>
  <si>
    <t>PING 192.168.110.9 (192.168.110.9) 56(84) bytes of data.</t>
  </si>
  <si>
    <t>64 bytes from 192.168.110.9: icmp_seq=1 ttl=63 time=0.649 ms</t>
  </si>
  <si>
    <t>64 bytes from 192.168.110.9: icmp_seq=2 ttl=63 time=0.916 ms</t>
  </si>
  <si>
    <t>64 bytes from 192.168.110.9: icmp_seq=3 ttl=63 time=0.855 ms</t>
  </si>
  <si>
    <t>--- 192.168.110.9 ping statistics ---</t>
  </si>
  <si>
    <t>3 packets transmitted, 3 received, 0% packet loss, time 2088ms</t>
  </si>
  <si>
    <t>rtt min/avg/max/mdev = 0.649/0.806/0.916/0.114 ms</t>
  </si>
  <si>
    <t>○jump-test⇒ap-test</t>
    <phoneticPr fontId="1"/>
  </si>
  <si>
    <t>[root@ap-test ~]# tcpdump -i enp0s9 -nn icmp</t>
  </si>
  <si>
    <t>[ 4682.843448] e1000 0000:00:09.0 enp0s9: entered promiscuous mode</t>
  </si>
  <si>
    <t>21:07:47.887915 IP 192.168.100.28 &gt; 192.168.110.10: ICMP echo request, id 9, seq 1, length 64</t>
  </si>
  <si>
    <t>21:07:47.887954 IP 192.168.110.10 &gt; 192.168.100.28: ICMP echo reply, id 9, seq 1, length 64</t>
  </si>
  <si>
    <t>21:07:48.932843 IP 192.168.100.28 &gt; 192.168.110.10: ICMP echo request, id 9, seq 2, length 64</t>
  </si>
  <si>
    <t>21:07:48.932871 IP 192.168.110.10 &gt; 192.168.100.28: ICMP echo reply, id 9, seq 2, length 64</t>
  </si>
  <si>
    <t>21:07:49.956912 IP 192.168.100.28 &gt; 192.168.110.10: ICMP echo request, id 9, seq 3, length 64</t>
  </si>
  <si>
    <t>21:07:49.956940 IP 192.168.110.10 &gt; 192.168.100.28: ICMP echo reply, id 9, seq 3, length 64</t>
  </si>
  <si>
    <t>[ 4695.846376] e1000 0000:00:09.0 enp0s9: left promiscuous mode</t>
  </si>
  <si>
    <t>[root@jump-test ~]# ping -c 3 192.168.110.10</t>
  </si>
  <si>
    <t>PING 192.168.110.10 (192.168.110.10) 56(84) bytes of data.</t>
  </si>
  <si>
    <t>64 bytes from 192.168.110.10: icmp_seq=1 ttl=63 time=0.807 ms</t>
  </si>
  <si>
    <t>64 bytes from 192.168.110.10: icmp_seq=2 ttl=63 time=0.873 ms</t>
  </si>
  <si>
    <t>64 bytes from 192.168.110.10: icmp_seq=3 ttl=63 time=0.940 ms</t>
  </si>
  <si>
    <t>--- 192.168.110.10 ping statistics ---</t>
  </si>
  <si>
    <t>3 packets transmitted, 3 received, 0% packet loss, time 2069ms</t>
  </si>
  <si>
    <t>rtt min/avg/max/mdev = 0.807/0.873/0.940/0.054 ms</t>
  </si>
  <si>
    <t>○jump-test⇒db-test</t>
    <phoneticPr fontId="1"/>
  </si>
  <si>
    <t>[root@db-test ~]# tcpdump -i enp0s9 -nn icmp</t>
  </si>
  <si>
    <t>[ 4749.068592] e1000 0000:00:09.0 enp0s9: entered promiscuous mode</t>
  </si>
  <si>
    <t>21:09:04.055766 IP 192.168.100.28 &gt; 192.168.120.7: ICMP echo request, id 10, seq 1, length 64</t>
  </si>
  <si>
    <t>21:09:04.055837 IP 192.168.120.7 &gt; 192.168.100.28: ICMP echo reply, id 10, seq 1, length 64</t>
  </si>
  <si>
    <t>21:09:05.057902 IP 192.168.100.28 &gt; 192.168.120.7: ICMP echo request, id 10, seq 2, length 64</t>
  </si>
  <si>
    <t>21:09:05.057928 IP 192.168.120.7 &gt; 192.168.100.28: ICMP echo reply, id 10, seq 2, length 64</t>
  </si>
  <si>
    <t>21:09:06.059961 IP 192.168.100.28 &gt; 192.168.120.7: ICMP echo request, id 10, seq 3, length 64</t>
  </si>
  <si>
    <t>21:09:06.060009 IP 192.168.120.7 &gt; 192.168.100.28: ICMP echo reply, id 10, seq 3, length 64</t>
  </si>
  <si>
    <t>[ 4765.774180] e1000 0000:00:09.0 enp0s9: left promiscuous mode</t>
  </si>
  <si>
    <t>[root@jump-test ~]# ping -c 3 192.168.120.7</t>
  </si>
  <si>
    <t>PING 192.168.120.7 (192.168.120.7) 56(84) bytes of data.</t>
  </si>
  <si>
    <t>64 bytes from 192.168.120.7: icmp_seq=1 ttl=63 time=1.00 ms</t>
  </si>
  <si>
    <t>64 bytes from 192.168.120.7: icmp_seq=2 ttl=63 time=0.955 ms</t>
  </si>
  <si>
    <t>64 bytes from 192.168.120.7: icmp_seq=3 ttl=63 time=0.850 ms</t>
  </si>
  <si>
    <t>--- 192.168.120.7 ping statistics ---</t>
  </si>
  <si>
    <t>3 packets transmitted, 3 received, 0% packet loss, time 2004ms</t>
  </si>
  <si>
    <t>rtt min/avg/max/mdev = 0.850/0.936/1.003/0.063 ms</t>
  </si>
  <si>
    <t>○dhcp-test⇒8.8.8.8</t>
    <phoneticPr fontId="1"/>
  </si>
  <si>
    <t>[ 4912.470154] e1000 0000:00:08.0 enp0s8: entered promiscuous mode</t>
  </si>
  <si>
    <t>21:11:59.129124 IP 192.168.100.27 &gt; 8.8.8.8: ICMP echo request, id 1, seq 1, length 64</t>
  </si>
  <si>
    <t>21:11:59.153764 IP 8.8.8.8 &gt; 192.168.100.27: ICMP echo reply, id 1, seq 1, length 64</t>
  </si>
  <si>
    <t>21:12:00.130875 IP 192.168.100.27 &gt; 8.8.8.8: ICMP echo request, id 1, seq 2, length 64</t>
  </si>
  <si>
    <t>21:12:00.154058 IP 8.8.8.8 &gt; 192.168.100.27: ICMP echo reply, id 1, seq 2, length 64</t>
  </si>
  <si>
    <t>21:12:01.132888 IP 192.168.100.27 &gt; 8.8.8.8: ICMP echo request, id 1, seq 3, length 64</t>
  </si>
  <si>
    <t>21:12:01.158839 IP 8.8.8.8 &gt; 192.168.100.27: ICMP echo reply, id 1, seq 3, length 64</t>
  </si>
  <si>
    <t>[ 4972.907753] e1000 0000:00:08.0 enp0s8: left promiscuous mode</t>
  </si>
  <si>
    <t>[root@dhcp-test ~]# ping -c 3 8.8.8.8</t>
  </si>
  <si>
    <t>64 bytes from 8.8.8.8: icmp_seq=1 ttl=254 time=25.1 ms</t>
  </si>
  <si>
    <t>64 bytes from 8.8.8.8: icmp_seq=2 ttl=254 time=23.6 ms</t>
  </si>
  <si>
    <t>64 bytes from 8.8.8.8: icmp_seq=3 ttl=254 time=26.4 ms</t>
  </si>
  <si>
    <t>rtt min/avg/max/mdev = 23.641/25.062/26.416/1.133 ms</t>
  </si>
  <si>
    <t>[root@dhcp-test ~]# ping -c 3 8.8.8.8</t>
    <phoneticPr fontId="1"/>
  </si>
  <si>
    <t>[root@router-test ~]# tcpdump -i enp0s3 -nn icmp</t>
  </si>
  <si>
    <t>[ 5051.536000] e1000 0000:00:03.0 enp0s3: entered promiscuous mode</t>
  </si>
  <si>
    <t>21:13:31.713640 IP 10.0.2.15 &gt; 8.8.8.8: ICMP echo request, id 2, seq 1, length 64</t>
  </si>
  <si>
    <t>21:13:31.738165 IP 8.8.8.8 &gt; 10.0.2.15: ICMP echo reply, id 2, seq 1, length 64</t>
  </si>
  <si>
    <t>21:13:32.715739 IP 10.0.2.15 &gt; 8.8.8.8: ICMP echo request, id 2, seq 2, length 64</t>
  </si>
  <si>
    <t>21:13:32.743791 IP 8.8.8.8 &gt; 10.0.2.15: ICMP echo reply, id 2, seq 2, length 64</t>
  </si>
  <si>
    <t>21:13:33.718386 IP 10.0.2.15 &gt; 8.8.8.8: ICMP echo request, id 2, seq 3, length 64</t>
  </si>
  <si>
    <t>21:13:33.742565 IP 8.8.8.8 &gt; 10.0.2.15: ICMP echo reply, id 2, seq 3, length 64</t>
  </si>
  <si>
    <t>[ 5065.623809] e1000 0000:00:03.0 enp0s3: left promiscuous mode</t>
  </si>
  <si>
    <t>64 bytes from 8.8.8.8: icmp_seq=2 ttl=254 time=28.6 ms</t>
  </si>
  <si>
    <t>64 bytes from 8.8.8.8: icmp_seq=3 ttl=254 time=24.7 ms</t>
  </si>
  <si>
    <t>3 packets transmitted, 3 received, 0% packet loss, time 2005ms</t>
  </si>
  <si>
    <t>rtt min/avg/max/mdev = 24.668/26.107/28.589/1.762 ms</t>
  </si>
  <si>
    <t>○jump-test⇒8.8.8.8</t>
    <phoneticPr fontId="1"/>
  </si>
  <si>
    <t>[ 5176.605774] e1000 0000:00:08.0 enp0s8: entered promiscuous mode</t>
  </si>
  <si>
    <t>21:15:36.863573 IP 192.168.100.28 &gt; 8.8.8.8: ICMP echo request, id 11, seq 1, length 64</t>
  </si>
  <si>
    <t>21:15:36.893327 IP 8.8.8.8 &gt; 192.168.100.28: ICMP echo reply, id 11, seq 1, length 64</t>
  </si>
  <si>
    <t>21:15:37.865109 IP 192.168.100.28 &gt; 8.8.8.8: ICMP echo request, id 11, seq 2, length 64</t>
  </si>
  <si>
    <t>21:15:37.887945 IP 8.8.8.8 &gt; 192.168.100.28: ICMP echo reply, id 11, seq 2, length 64</t>
  </si>
  <si>
    <t>21:15:38.866785 IP 192.168.100.28 &gt; 8.8.8.8: ICMP echo request, id 11, seq 3, length 64</t>
  </si>
  <si>
    <t>21:15:38.888716 IP 8.8.8.8 &gt; 192.168.100.28: ICMP echo reply, id 11, seq 3, length 64</t>
  </si>
  <si>
    <t>[ 5190.442824] e1000 0000:00:08.0 enp0s8: left promiscuous mode</t>
  </si>
  <si>
    <t>[root@jump-test ~]# ping -c 3 8.8.8.8</t>
  </si>
  <si>
    <t>64 bytes from 8.8.8.8: icmp_seq=1 ttl=254 time=30.1 ms</t>
  </si>
  <si>
    <t>64 bytes from 8.8.8.8: icmp_seq=2 ttl=254 time=23.3 ms</t>
  </si>
  <si>
    <t>64 bytes from 8.8.8.8: icmp_seq=3 ttl=254 time=22.4 ms</t>
  </si>
  <si>
    <t>rtt min/avg/max/mdev = 22.402/25.292/30.144/3.451 ms</t>
  </si>
  <si>
    <t>[ 5229.523936] e1000 0000:00:03.0 enp0s3: entered promiscuous mode</t>
  </si>
  <si>
    <t>21:16:25.226683 IP 10.0.2.15 &gt; 8.8.8.8: ICMP echo request, id 12, seq 1, length 64</t>
  </si>
  <si>
    <t>21:16:25.253914 IP 8.8.8.8 &gt; 10.0.2.15: ICMP echo reply, id 12, seq 1, length 64</t>
  </si>
  <si>
    <t>21:16:26.230028 IP 10.0.2.15 &gt; 8.8.8.8: ICMP echo request, id 12, seq 2, length 64</t>
  </si>
  <si>
    <t>21:16:26.258768 IP 8.8.8.8 &gt; 10.0.2.15: ICMP echo reply, id 12, seq 2, length 64</t>
  </si>
  <si>
    <t>21:16:27.231677 IP 10.0.2.15 &gt; 8.8.8.8: ICMP echo request, id 12, seq 3, length 64</t>
  </si>
  <si>
    <t>21:16:27.253650 IP 8.8.8.8 &gt; 10.0.2.15: ICMP echo reply, id 12, seq 3, length 64</t>
  </si>
  <si>
    <t>[ 5239.121792] e1000 0000:00:03.0 enp0s3: left promiscuous mode</t>
  </si>
  <si>
    <t>64 bytes from 8.8.8.8: icmp_seq=1 ttl=254 time=27.7 ms</t>
  </si>
  <si>
    <t>64 bytes from 8.8.8.8: icmp_seq=2 ttl=254 time=29.3 ms</t>
  </si>
  <si>
    <t>rtt min/avg/max/mdev = 22.446/26.488/29.335/2.936 ms</t>
  </si>
  <si>
    <t>○dns-test⇒8.8.8.8</t>
    <phoneticPr fontId="1"/>
  </si>
  <si>
    <t>[ 5399.373781] e1000 0000:00:08.0 enp0s8: entered promiscuous mode</t>
  </si>
  <si>
    <t>21:19:18.537522 IP 192.168.100.29 &gt; 8.8.8.8: ICMP echo request, id 1, seq 1, length 64</t>
  </si>
  <si>
    <t>21:19:18.574321 IP 8.8.8.8 &gt; 192.168.100.29: ICMP echo reply, id 1, seq 1, length 64</t>
  </si>
  <si>
    <t>21:19:19.538622 IP 192.168.100.29 &gt; 8.8.8.8: ICMP echo request, id 1, seq 2, length 64</t>
  </si>
  <si>
    <t>21:19:19.564103 IP 8.8.8.8 &gt; 192.168.100.29: ICMP echo reply, id 1, seq 2, length 64</t>
  </si>
  <si>
    <t>21:19:20.539575 IP 192.168.100.29 &gt; 8.8.8.8: ICMP echo request, id 1, seq 3, length 64</t>
  </si>
  <si>
    <t>21:19:20.563683 IP 8.8.8.8 &gt; 192.168.100.29: ICMP echo reply, id 1, seq 3, length 64</t>
  </si>
  <si>
    <t>[ 5411.833590] e1000 0000:00:08.0 enp0s8: left promiscuous mode</t>
  </si>
  <si>
    <t>[root@dns-test ~]# ping -c 8.8.8.8</t>
  </si>
  <si>
    <t>ping: invalid argument: '8.8.8.8'</t>
  </si>
  <si>
    <t>[root@dns-test ~]# ping -c 3 8.8.8.8</t>
  </si>
  <si>
    <t>64 bytes from 8.8.8.8: icmp_seq=1 ttl=254 time=37.2 ms</t>
  </si>
  <si>
    <t>64 bytes from 8.8.8.8: icmp_seq=2 ttl=254 time=25.9 ms</t>
  </si>
  <si>
    <t>64 bytes from 8.8.8.8: icmp_seq=3 ttl=254 time=24.6 ms</t>
  </si>
  <si>
    <t>3 packets transmitted, 3 received, 0% packet loss, time 2002ms</t>
  </si>
  <si>
    <t>rtt min/avg/max/mdev = 24.601/29.250/37.224/5.664 ms</t>
  </si>
  <si>
    <t>[ 5433.934597] e1000 0000:00:03.0 enp0s3: entered promiscuous mode</t>
  </si>
  <si>
    <t>21:19:47.967954 IP 10.0.2.15 &gt; 8.8.8.8: ICMP echo request, id 2, seq 1, length 64</t>
  </si>
  <si>
    <t>21:19:47.993545 IP 8.8.8.8 &gt; 10.0.2.15: ICMP echo reply, id 2, seq 1, length 64</t>
  </si>
  <si>
    <t>21:19:48.969138 IP 10.0.2.15 &gt; 8.8.8.8: ICMP echo request, id 2, seq 2, length 64</t>
  </si>
  <si>
    <t>21:19:48.993709 IP 8.8.8.8 &gt; 10.0.2.15: ICMP echo reply, id 2, seq 2, length 64</t>
  </si>
  <si>
    <t>21:19:49.970979 IP 10.0.2.15 &gt; 8.8.8.8: ICMP echo request, id 2, seq 3, length 64</t>
  </si>
  <si>
    <t>21:19:49.993611 IP 8.8.8.8 &gt; 10.0.2.15: ICMP echo reply, id 2, seq 3, length 64</t>
  </si>
  <si>
    <t>[ 5442.128066] e1000 0000:00:03.0 enp0s3: left promiscuous mode</t>
  </si>
  <si>
    <t>64 bytes from 8.8.8.8: icmp_seq=1 ttl=254 time=26.1 ms</t>
  </si>
  <si>
    <t>64 bytes from 8.8.8.8: icmp_seq=2 ttl=254 time=25.1 ms</t>
  </si>
  <si>
    <t>64 bytes from 8.8.8.8: icmp_seq=3 ttl=254 time=23.2 ms</t>
  </si>
  <si>
    <t>rtt min/avg/max/mdev = 23.154/24.776/26.114/1.225 ms</t>
  </si>
  <si>
    <t>○ntp-test⇒8.8.8.8</t>
    <phoneticPr fontId="1"/>
  </si>
  <si>
    <t>[ 5519.828427] e1000 0000:00:08.0 enp0s8: entered promiscuous mode</t>
  </si>
  <si>
    <t>21:21:12.613549 IP 192.168.100.30 &gt; 8.8.8.8: ICMP echo request, id 1, seq 1, length 64</t>
  </si>
  <si>
    <t>21:21:12.638320 IP 8.8.8.8 &gt; 192.168.100.30: ICMP echo reply, id 1, seq 1, length 64</t>
  </si>
  <si>
    <t>21:21:13.615617 IP 192.168.100.30 &gt; 8.8.8.8: ICMP echo request, id 1, seq 2, length 64</t>
  </si>
  <si>
    <t>21:21:13.643168 IP 8.8.8.8 &gt; 192.168.100.30: ICMP echo reply, id 1, seq 2, length 64</t>
  </si>
  <si>
    <t>21:21:14.617416 IP 192.168.100.30 &gt; 8.8.8.8: ICMP echo request, id 1, seq 3, length 64</t>
  </si>
  <si>
    <t>21:21:14.643624 IP 8.8.8.8 &gt; 192.168.100.30: ICMP echo reply, id 1, seq 3, length 64</t>
  </si>
  <si>
    <t>[ 5525.342683] e1000 0000:00:08.0 enp0s8: left promiscuous mode</t>
  </si>
  <si>
    <t>[root@ntp-test ~]# ping -c 3 8.8.8.8</t>
  </si>
  <si>
    <t>64 bytes from 8.8.8.8: icmp_seq=1 ttl=254 time=25.4 ms</t>
  </si>
  <si>
    <t>64 bytes from 8.8.8.8: icmp_seq=2 ttl=254 time=28.1 ms</t>
  </si>
  <si>
    <t>64 bytes from 8.8.8.8: icmp_seq=3 ttl=254 time=26.7 ms</t>
  </si>
  <si>
    <t>rtt min/avg/max/mdev = 25.422/26.745/28.112/1.098 ms</t>
  </si>
  <si>
    <t>[ 5546.105005] e1000 0000:00:03.0 enp0s3: entered promiscuous mode</t>
  </si>
  <si>
    <t>21:21:41.629219 IP 10.0.2.15 &gt; 8.8.8.8: ICMP echo request, id 2, seq 1, length 64</t>
  </si>
  <si>
    <t>21:21:41.653718 IP 8.8.8.8 &gt; 10.0.2.15: ICMP echo reply, id 2, seq 1, length 64</t>
  </si>
  <si>
    <t>21:21:42.630357 IP 10.0.2.15 &gt; 8.8.8.8: ICMP echo request, id 2, seq 2, length 64</t>
  </si>
  <si>
    <t>21:21:42.653821 IP 8.8.8.8 &gt; 10.0.2.15: ICMP echo reply, id 2, seq 2, length 64</t>
  </si>
  <si>
    <t>21:21:43.630500 IP 10.0.2.15 &gt; 8.8.8.8: ICMP echo request, id 2, seq 3, length 64</t>
  </si>
  <si>
    <t>21:21:43.653375 IP 8.8.8.8 &gt; 10.0.2.15: ICMP echo reply, id 2, seq 3, length 64</t>
  </si>
  <si>
    <t>[ 5554.469908] e1000 0000:00:03.0 enp0s3: left promiscuous mode</t>
  </si>
  <si>
    <t>64 bytes from 8.8.8.8: icmp_seq=1 ttl=254 time=25.2 ms</t>
  </si>
  <si>
    <t>64 bytes from 8.8.8.8: icmp_seq=2 ttl=254 time=24.0 ms</t>
  </si>
  <si>
    <t>64 bytes from 8.8.8.8: icmp_seq=3 ttl=254 time=23.4 ms</t>
  </si>
  <si>
    <t>3 packets transmitted, 3 received, 0% packet loss, time 2001ms</t>
  </si>
  <si>
    <t>rtt min/avg/max/mdev = 23.429/24.205/25.222/0.751 ms</t>
  </si>
  <si>
    <t>○syslog-test⇒8.8.8.8</t>
    <phoneticPr fontId="1"/>
  </si>
  <si>
    <t>[ 5673.548133] e1000 0000:00:08.0 enp0s8: entered promiscuous mode</t>
  </si>
  <si>
    <t>21:23:51.479852 IP 192.168.100.31 &gt; 8.8.8.8: ICMP echo request, id 1, seq 1, length 64</t>
  </si>
  <si>
    <t>21:23:51.504390 IP 8.8.8.8 &gt; 192.168.100.31: ICMP echo reply, id 1, seq 1, length 64</t>
  </si>
  <si>
    <t>21:23:52.480279 IP 192.168.100.31 &gt; 8.8.8.8: ICMP echo request, id 1, seq 2, length 64</t>
  </si>
  <si>
    <t>21:23:52.504903 IP 8.8.8.8 &gt; 192.168.100.31: ICMP echo reply, id 1, seq 2, length 64</t>
  </si>
  <si>
    <t>21:23:53.481292 IP 192.168.100.31 &gt; 8.8.8.8: ICMP echo request, id 1, seq 3, length 64</t>
  </si>
  <si>
    <t>21:23:53.503946 IP 8.8.8.8 &gt; 192.168.100.31: ICMP echo reply, id 1, seq 3, length 64</t>
  </si>
  <si>
    <t>[ 5684.445458] e1000 0000:00:08.0 enp0s8: left promiscuous mode</t>
  </si>
  <si>
    <t>[root@syslog-test ~]# ping -c 3 8.8.8.8</t>
  </si>
  <si>
    <t>64 bytes from 8.8.8.8: icmp_seq=1 ttl=254 time=25.0 ms</t>
  </si>
  <si>
    <t>64 bytes from 8.8.8.8: icmp_seq=3 ttl=254 time=23.1 ms</t>
  </si>
  <si>
    <t>rtt min/avg/max/mdev = 23.079/24.395/25.085/0.931 ms</t>
  </si>
  <si>
    <t>[ 5702.267778] e1000 0000:00:03.0 enp0s3: entered promiscuous mode</t>
  </si>
  <si>
    <t>21:24:15.588944 IP 10.0.2.15 &gt; 8.8.8.8: ICMP echo request, id 2, seq 1, length 64</t>
  </si>
  <si>
    <t>21:24:15.613410 IP 8.8.8.8 &gt; 10.0.2.15: ICMP echo reply, id 2, seq 1, length 64</t>
  </si>
  <si>
    <t>21:24:16.590786 IP 10.0.2.15 &gt; 8.8.8.8: ICMP echo request, id 2, seq 2, length 64</t>
  </si>
  <si>
    <t>21:24:16.613731 IP 8.8.8.8 &gt; 10.0.2.15: ICMP echo reply, id 2, seq 2, length 64</t>
  </si>
  <si>
    <t>21:24:17.593450 IP 10.0.2.15 &gt; 8.8.8.8: ICMP echo request, id 2, seq 3, length 64</t>
  </si>
  <si>
    <t>21:24:17.622857 IP 8.8.8.8 &gt; 10.0.2.15: ICMP echo reply, id 2, seq 3, length 64</t>
  </si>
  <si>
    <t>[ 5708.497581] e1000 0000:00:03.0 enp0s3: left promiscuous mode</t>
  </si>
  <si>
    <t>64 bytes from 8.8.8.8: icmp_seq=1 ttl=254 time=24.9 ms</t>
  </si>
  <si>
    <t>64 bytes from 8.8.8.8: icmp_seq=2 ttl=254 time=23.5 ms</t>
  </si>
  <si>
    <t>64 bytes from 8.8.8.8: icmp_seq=3 ttl=254 time=30.0 ms</t>
  </si>
  <si>
    <t>rtt min/avg/max/mdev = 23.480/26.119/29.976/2.788 ms</t>
  </si>
  <si>
    <t>○lb-test⇒8.8.8.8</t>
    <phoneticPr fontId="1"/>
  </si>
  <si>
    <t>[root@router-test ~]# tcpdump -i enp0s9 -nn icmp</t>
  </si>
  <si>
    <t>[ 5793.647580] e1000 0000:00:09.0 enp0s9: entered promiscuous mode</t>
  </si>
  <si>
    <t>21:26:09.852076 IP 192.168.110.8 &gt; 8.8.8.8: ICMP echo request, id 1, seq 1, length 64</t>
  </si>
  <si>
    <t>21:26:09.883749 IP 8.8.8.8 &gt; 192.168.110.8: ICMP echo reply, id 1, seq 1, length 64</t>
  </si>
  <si>
    <t>21:26:10.854069 IP 192.168.110.8 &gt; 8.8.8.8: ICMP echo request, id 1, seq 2, length 64</t>
  </si>
  <si>
    <t>21:26:10.883786 IP 8.8.8.8 &gt; 192.168.110.8: ICMP echo reply, id 1, seq 2, length 64</t>
  </si>
  <si>
    <t>21:26:11.854468 IP 192.168.110.8 &gt; 8.8.8.8: ICMP echo request, id 1, seq 3, length 64</t>
  </si>
  <si>
    <t>21:26:11.883704 IP 8.8.8.8 &gt; 192.168.110.8: ICMP echo reply, id 1, seq 3, length 64</t>
  </si>
  <si>
    <t>[ 5823.084468] e1000 0000:00:09.0 enp0s9: left promiscuous mode</t>
  </si>
  <si>
    <t>[root@lb-test ~]# ping -c 3 8.8.8.8</t>
  </si>
  <si>
    <t>64 bytes from 8.8.8.8: icmp_seq=1 ttl=254 time=32.2 ms</t>
  </si>
  <si>
    <t>64 bytes from 8.8.8.8: icmp_seq=2 ttl=254 time=30.2 ms</t>
  </si>
  <si>
    <t>64 bytes from 8.8.8.8: icmp_seq=3 ttl=254 time=29.7 ms</t>
  </si>
  <si>
    <t>rtt min/avg/max/mdev = 29.669/30.691/32.206/1.092 ms</t>
  </si>
  <si>
    <t>[ 5842.114099] e1000 0000:00:03.0 enp0s3: entered promiscuous mode</t>
  </si>
  <si>
    <t>21:26:37.708092 IP 10.0.2.15 &gt; 8.8.8.8: ICMP echo request, id 2, seq 1, length 64</t>
  </si>
  <si>
    <t>21:26:37.733794 IP 8.8.8.8 &gt; 10.0.2.15: ICMP echo reply, id 2, seq 1, length 64</t>
  </si>
  <si>
    <t>21:26:38.709388 IP 10.0.2.15 &gt; 8.8.8.8: ICMP echo request, id 2, seq 2, length 64</t>
  </si>
  <si>
    <t>21:26:38.733612 IP 8.8.8.8 &gt; 10.0.2.15: ICMP echo reply, id 2, seq 2, length 64</t>
  </si>
  <si>
    <t>21:26:39.711900 IP 10.0.2.15 &gt; 8.8.8.8: ICMP echo request, id 2, seq 3, length 64</t>
  </si>
  <si>
    <t>21:26:39.743516 IP 8.8.8.8 &gt; 10.0.2.15: ICMP echo reply, id 2, seq 3, length 64</t>
  </si>
  <si>
    <t>[ 5851.357762] e1000 0000:00:03.0 enp0s3: left promiscuous mode</t>
  </si>
  <si>
    <t>64 bytes from 8.8.8.8: icmp_seq=1 ttl=254 time=26.2 ms</t>
  </si>
  <si>
    <t>64 bytes from 8.8.8.8: icmp_seq=2 ttl=254 time=24.7 ms</t>
  </si>
  <si>
    <t>64 bytes from 8.8.8.8: icmp_seq=3 ttl=254 time=32.2 ms</t>
  </si>
  <si>
    <t>rtt min/avg/max/mdev = 24.747/27.703/32.156/3.204 ms</t>
  </si>
  <si>
    <t>○web-test⇒8.8.8.8</t>
    <phoneticPr fontId="1"/>
  </si>
  <si>
    <t>[ 5940.468110] e1000 0000:00:09.0 enp0s9: entered promiscuous mode</t>
  </si>
  <si>
    <t>21:28:23.110667 IP 192.168.110.9 &gt; 8.8.8.8: ICMP echo request, id 1, seq 1, length 64</t>
  </si>
  <si>
    <t>21:28:23.133806 IP 8.8.8.8 &gt; 192.168.110.9: ICMP echo reply, id 1, seq 1, length 64</t>
  </si>
  <si>
    <t>21:28:24.112419 IP 192.168.110.9 &gt; 8.8.8.8: ICMP echo request, id 1, seq 2, length 64</t>
  </si>
  <si>
    <t>21:28:24.143132 IP 8.8.8.8 &gt; 192.168.110.9: ICMP echo reply, id 1, seq 2, length 64</t>
  </si>
  <si>
    <t>21:28:25.113931 IP 192.168.110.9 &gt; 8.8.8.8: ICMP echo request, id 1, seq 3, length 64</t>
  </si>
  <si>
    <t>21:28:25.138730 IP 8.8.8.8 &gt; 192.168.110.9: ICMP echo reply, id 1, seq 3, length 64</t>
  </si>
  <si>
    <t>[ 5956.698408] e1000 0000:00:09.0 enp0s9: left promiscuous mode</t>
  </si>
  <si>
    <t>[root@web-test ~]# ping -c 3 8.8.8.8</t>
  </si>
  <si>
    <t>64 bytes from 8.8.8.8: icmp_seq=1 ttl=254 time=23.6 ms</t>
  </si>
  <si>
    <t>64 bytes from 8.8.8.8: icmp_seq=2 ttl=254 time=31.2 ms</t>
  </si>
  <si>
    <t>64 bytes from 8.8.8.8: icmp_seq=3 ttl=254 time=25.3 ms</t>
  </si>
  <si>
    <t>rtt min/avg/max/mdev = 23.649/26.701/31.180/3.235 ms</t>
  </si>
  <si>
    <t>[ 5975.160123] e1000 0000:00:03.0 enp0s3: entered promiscuous mode</t>
  </si>
  <si>
    <t>21:28:49.480416 IP 10.0.2.15 &gt; 8.8.8.8: ICMP echo request, id 2, seq 1, length 64</t>
  </si>
  <si>
    <t>21:28:49.503963 IP 8.8.8.8 &gt; 10.0.2.15: ICMP echo reply, id 2, seq 1, length 64</t>
  </si>
  <si>
    <t>21:28:50.482786 IP 10.0.2.15 &gt; 8.8.8.8: ICMP echo request, id 2, seq 2, length 64</t>
  </si>
  <si>
    <t>21:28:50.513328 IP 8.8.8.8 &gt; 10.0.2.15: ICMP echo reply, id 2, seq 2, length 64</t>
  </si>
  <si>
    <t>21:28:51.484550 IP 10.0.2.15 &gt; 8.8.8.8: ICMP echo request, id 2, seq 3, length 64</t>
  </si>
  <si>
    <t>21:28:51.508292 IP 8.8.8.8 &gt; 10.0.2.15: ICMP echo reply, id 2, seq 3, length 64</t>
  </si>
  <si>
    <t>[ 5983.058464] e1000 0000:00:03.0 enp0s3: left promiscuous mode</t>
  </si>
  <si>
    <t>64 bytes from 8.8.8.8: icmp_seq=1 ttl=254 time=24.2 ms</t>
  </si>
  <si>
    <t>64 bytes from 8.8.8.8: icmp_seq=2 ttl=254 time=31.0 ms</t>
  </si>
  <si>
    <t>64 bytes from 8.8.8.8: icmp_seq=3 ttl=254 time=24.2 ms</t>
  </si>
  <si>
    <t>rtt min/avg/max/mdev = 24.161/26.453/30.967/3.191 ms</t>
  </si>
  <si>
    <t>○ap-test⇒8.8.8.8</t>
    <phoneticPr fontId="1"/>
  </si>
  <si>
    <t>[ 6035.574677] e1000 0000:00:09.0 enp0s9: entered promiscuous mode</t>
  </si>
  <si>
    <t>21:30:03.918258 IP 192.168.110.10 &gt; 8.8.8.8: ICMP echo request, id 1, seq 1, length 64</t>
  </si>
  <si>
    <t>21:30:03.944311 IP 8.8.8.8 &gt; 192.168.110.10: ICMP echo reply, id 1, seq 1, length 64</t>
  </si>
  <si>
    <t>21:30:04.919947 IP 192.168.110.10 &gt; 8.8.8.8: ICMP echo request, id 1, seq 2, length 64</t>
  </si>
  <si>
    <t>21:30:05.016692 IP 8.8.8.8 &gt; 192.168.110.10: ICMP echo reply, id 1, seq 2, length 64</t>
  </si>
  <si>
    <t>21:30:05.920715 IP 192.168.110.10 &gt; 8.8.8.8: ICMP echo request, id 1, seq 3, length 64</t>
  </si>
  <si>
    <t>21:30:05.943029 IP 8.8.8.8 &gt; 192.168.110.10: ICMP echo reply, id 1, seq 3, length 64</t>
  </si>
  <si>
    <t>[ 6057.727887] e1000 0000:00:09.0 enp0s9: left promiscuous mode</t>
  </si>
  <si>
    <t>[root@ap-test ~]# ping -c 3 8.8.8.8</t>
  </si>
  <si>
    <t>64 bytes from 8.8.8.8: icmp_seq=1 ttl=254 time=26.5 ms</t>
  </si>
  <si>
    <t>64 bytes from 8.8.8.8: icmp_seq=2 ttl=254 time=97.2 ms</t>
  </si>
  <si>
    <t>64 bytes from 8.8.8.8: icmp_seq=3 ttl=254 time=22.7 ms</t>
  </si>
  <si>
    <t>rtt min/avg/max/mdev = 22.718/48.804/97.205/34.259 ms</t>
  </si>
  <si>
    <t>[ 6074.345462] e1000 0000:00:03.0 enp0s3: entered promiscuous mode</t>
  </si>
  <si>
    <t>21:30:28.334445 IP 10.0.2.15 &gt; 8.8.8.8: ICMP echo request, id 2, seq 1, length 64</t>
  </si>
  <si>
    <t>21:30:28.358696 IP 8.8.8.8 &gt; 10.0.2.15: ICMP echo reply, id 2, seq 1, length 64</t>
  </si>
  <si>
    <t>21:30:29.336696 IP 10.0.2.15 &gt; 8.8.8.8: ICMP echo request, id 2, seq 2, length 64</t>
  </si>
  <si>
    <t>21:30:29.363521 IP 8.8.8.8 &gt; 10.0.2.15: ICMP echo reply, id 2, seq 2, length 64</t>
  </si>
  <si>
    <t>21:30:30.338920 IP 10.0.2.15 &gt; 8.8.8.8: ICMP echo request, id 2, seq 3, length 64</t>
  </si>
  <si>
    <t>21:30:30.363414 IP 8.8.8.8 &gt; 10.0.2.15: ICMP echo reply, id 2, seq 3, length 64</t>
  </si>
  <si>
    <t>[ 6083.177776] e1000 0000:00:03.0 enp0s3: left promiscuous mode</t>
  </si>
  <si>
    <t>15 packets received by filter</t>
  </si>
  <si>
    <t>64 bytes from 8.8.8.8: icmp_seq=1 ttl=254 time=24.8 ms</t>
  </si>
  <si>
    <t>64 bytes from 8.8.8.8: icmp_seq=2 ttl=254 time=27.3 ms</t>
  </si>
  <si>
    <t>64 bytes from 8.8.8.8: icmp_seq=3 ttl=254 time=25.0 ms</t>
  </si>
  <si>
    <t>rtt min/avg/max/mdev = 24.785/25.684/27.292/1.139 ms</t>
  </si>
  <si>
    <t>○db-test⇒8.8.8.8</t>
    <phoneticPr fontId="1"/>
  </si>
  <si>
    <t>[root@router-test ~]# tcpdump -i enp0s10 -nn icmp</t>
  </si>
  <si>
    <t>[ 6124.917065] e1000 0000:00:0a.0 enp0s10: entered promiscuous mode</t>
  </si>
  <si>
    <t>21:31:31.972530 IP 192.168.120.7 &gt; 8.8.8.8: ICMP echo request, id 1, seq 1, length 64</t>
  </si>
  <si>
    <t>21:31:32.003760 IP 8.8.8.8 &gt; 192.168.120.7: ICMP echo reply, id 1, seq 1, length 64</t>
  </si>
  <si>
    <t>21:31:32.973974 IP 192.168.120.7 &gt; 8.8.8.8: ICMP echo request, id 1, seq 2, length 64</t>
  </si>
  <si>
    <t>21:31:33.003847 IP 8.8.8.8 &gt; 192.168.120.7: ICMP echo reply, id 1, seq 2, length 64</t>
  </si>
  <si>
    <t>21:31:33.975392 IP 192.168.120.7 &gt; 8.8.8.8: ICMP echo request, id 1, seq 3, length 64</t>
  </si>
  <si>
    <t>21:31:34.003750 IP 8.8.8.8 &gt; 192.168.120.7: ICMP echo reply, id 1, seq 3, length 64</t>
  </si>
  <si>
    <t>[ 6145.714580] e1000 0000:00:0a.0 enp0s10: left promiscuous mode</t>
  </si>
  <si>
    <t>[root@db-test ~]# ping -c 3 8.8.8.8</t>
  </si>
  <si>
    <t>64 bytes from 8.8.8.8: icmp_seq=1 ttl=254 time=31.8 ms</t>
  </si>
  <si>
    <t>64 bytes from 8.8.8.8: icmp_seq=2 ttl=254 time=30.3 ms</t>
  </si>
  <si>
    <t>64 bytes from 8.8.8.8: icmp_seq=3 ttl=254 time=28.8 ms</t>
  </si>
  <si>
    <t>rtt min/avg/max/mdev = 28.788/30.297/31.801/1.230 ms</t>
  </si>
  <si>
    <t>[ 6166.259417] e1000 0000:00:03.0 enp0s3: entered promiscuous mode</t>
  </si>
  <si>
    <t>21:32:01.696368 IP 10.0.2.15 &gt; 8.8.8.8: ICMP echo request, id 2, seq 1, length 64</t>
  </si>
  <si>
    <t>21:32:01.723405 IP 8.8.8.8 &gt; 10.0.2.15: ICMP echo reply, id 2, seq 1, length 64</t>
  </si>
  <si>
    <t>21:32:02.698419 IP 10.0.2.15 &gt; 8.8.8.8: ICMP echo request, id 2, seq 2, length 64</t>
  </si>
  <si>
    <t>21:32:02.723750 IP 8.8.8.8 &gt; 10.0.2.15: ICMP echo reply, id 2, seq 2, length 64</t>
  </si>
  <si>
    <t>21:32:03.701571 IP 10.0.2.15 &gt; 8.8.8.8: ICMP echo request, id 2, seq 3, length 64</t>
  </si>
  <si>
    <t>21:32:03.723811 IP 8.8.8.8 &gt; 10.0.2.15: ICMP echo reply, id 2, seq 3, length 64</t>
  </si>
  <si>
    <t>[ 6175.143162] e1000 0000:00:03.0 enp0s3: left promiscuous mode</t>
  </si>
  <si>
    <t>64 bytes from 8.8.8.8: icmp_seq=1 ttl=254 time=27.6 ms</t>
  </si>
  <si>
    <t>rtt min/avg/max/mdev = 22.718/25.394/27.612/2.024 ms</t>
  </si>
  <si>
    <t>jump-test⇒lb-test</t>
    <phoneticPr fontId="1"/>
  </si>
  <si>
    <t>jump-test⇒web-test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</si>
</sst>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8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u/>
      <sz val="11"/>
      <color theme="10"/>
      <name val="メイリオ"/>
      <family val="2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0070C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5" fillId="0" borderId="0" xfId="1" applyFo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>
      <alignment vertical="center"/>
    </xf>
    <xf numFmtId="0" fontId="3" fillId="0" borderId="0" xfId="0" applyFont="1">
      <alignment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5" borderId="5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5" borderId="6" xfId="0" applyFont="1" applyFill="1" applyBorder="1">
      <alignment vertical="center"/>
    </xf>
    <xf numFmtId="0" fontId="2" fillId="0" borderId="0" xfId="1">
      <alignment vertical="center"/>
    </xf>
    <xf numFmtId="0" fontId="7" fillId="0" borderId="0" xfId="0" applyFont="1">
      <alignment vertical="center"/>
    </xf>
    <xf numFmtId="0" fontId="5" fillId="3" borderId="1" xfId="1" applyFont="1" applyFill="1" applyBorder="1">
      <alignment vertical="center"/>
    </xf>
    <xf numFmtId="0" fontId="5" fillId="5" borderId="1" xfId="1" applyFont="1" applyFill="1" applyBorder="1">
      <alignment vertical="center"/>
    </xf>
    <xf numFmtId="0" fontId="4" fillId="5" borderId="7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 wrapText="1"/>
    </xf>
    <xf numFmtId="0" fontId="5" fillId="5" borderId="8" xfId="1" applyFont="1" applyFill="1" applyBorder="1">
      <alignment vertical="center"/>
    </xf>
    <xf numFmtId="0" fontId="4" fillId="5" borderId="9" xfId="0" applyFont="1" applyFill="1" applyBorder="1">
      <alignment vertical="center"/>
    </xf>
    <xf numFmtId="0" fontId="4" fillId="7" borderId="5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7" borderId="6" xfId="0" applyFont="1" applyFill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>
      <alignment vertical="center"/>
    </xf>
    <xf numFmtId="0" fontId="4" fillId="6" borderId="5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1" applyFont="1" applyFill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2" borderId="5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1" applyFont="1" applyFill="1" applyBorder="1">
      <alignment vertical="center"/>
    </xf>
    <xf numFmtId="0" fontId="4" fillId="2" borderId="1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8" borderId="5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8" borderId="1" xfId="0" applyFont="1" applyFill="1" applyBorder="1" applyAlignment="1">
      <alignment vertical="center" wrapText="1"/>
    </xf>
    <xf numFmtId="0" fontId="4" fillId="9" borderId="5" xfId="0" applyFont="1" applyFill="1" applyBorder="1">
      <alignment vertical="center"/>
    </xf>
    <xf numFmtId="0" fontId="4" fillId="9" borderId="1" xfId="0" applyFont="1" applyFill="1" applyBorder="1" applyAlignment="1">
      <alignment vertical="center" wrapText="1"/>
    </xf>
    <xf numFmtId="0" fontId="4" fillId="0" borderId="11" xfId="0" applyFont="1" applyBorder="1">
      <alignment vertical="center"/>
    </xf>
    <xf numFmtId="0" fontId="4" fillId="9" borderId="11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7" borderId="1" xfId="1" applyFont="1" applyFill="1" applyBorder="1">
      <alignment vertical="center"/>
    </xf>
    <xf numFmtId="0" fontId="5" fillId="6" borderId="1" xfId="1" applyFont="1" applyFill="1" applyBorder="1">
      <alignment vertical="center"/>
    </xf>
    <xf numFmtId="0" fontId="5" fillId="9" borderId="1" xfId="1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4" fillId="0" borderId="0" xfId="0" quotePrefix="1" applyFont="1">
      <alignment vertical="center"/>
    </xf>
    <xf numFmtId="176" fontId="4" fillId="0" borderId="1" xfId="0" applyNumberFormat="1" applyFont="1" applyBorder="1" applyAlignment="1">
      <alignment horizontal="left" vertical="center"/>
    </xf>
    <xf numFmtId="176" fontId="4" fillId="0" borderId="1" xfId="0" quotePrefix="1" applyNumberFormat="1" applyFont="1" applyBorder="1" applyAlignment="1">
      <alignment horizontal="left" vertical="center"/>
    </xf>
    <xf numFmtId="0" fontId="6" fillId="0" borderId="0" xfId="0" applyFont="1">
      <alignment vertical="center"/>
    </xf>
    <xf numFmtId="0" fontId="4" fillId="4" borderId="0" xfId="0" applyFont="1" applyFill="1">
      <alignment vertical="center"/>
    </xf>
    <xf numFmtId="0" fontId="4" fillId="3" borderId="0" xfId="0" applyFont="1" applyFill="1">
      <alignment vertical="center"/>
    </xf>
    <xf numFmtId="0" fontId="7" fillId="4" borderId="0" xfId="0" applyFont="1" applyFill="1">
      <alignment vertical="center"/>
    </xf>
    <xf numFmtId="0" fontId="7" fillId="3" borderId="0" xfId="0" applyFont="1" applyFill="1">
      <alignment vertical="center"/>
    </xf>
    <xf numFmtId="0" fontId="5" fillId="8" borderId="1" xfId="1" applyFont="1" applyFill="1" applyBorder="1">
      <alignment vertical="center"/>
    </xf>
    <xf numFmtId="0" fontId="5" fillId="8" borderId="1" xfId="1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21"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D4E8-248B-4F88-9643-D48F7B9D0230}">
  <dimension ref="A1:X100"/>
  <sheetViews>
    <sheetView tabSelected="1" view="pageBreakPreview" zoomScale="70" zoomScaleNormal="40" zoomScaleSheetLayoutView="70" workbookViewId="0">
      <pane ySplit="1" topLeftCell="A2" activePane="bottomLeft" state="frozen"/>
      <selection pane="bottomLeft" activeCell="A2" sqref="A2"/>
    </sheetView>
  </sheetViews>
  <sheetFormatPr defaultRowHeight="15.75" x14ac:dyDescent="0.45"/>
  <cols>
    <col min="1" max="1" width="7.77734375" style="4" bestFit="1" customWidth="1"/>
    <col min="2" max="2" width="12.44140625" style="4" bestFit="1" customWidth="1"/>
    <col min="3" max="3" width="16.109375" style="4" bestFit="1" customWidth="1"/>
    <col min="4" max="5" width="26.77734375" style="4" bestFit="1" customWidth="1"/>
    <col min="6" max="6" width="33" style="4" customWidth="1"/>
    <col min="7" max="7" width="18.33203125" style="4" bestFit="1" customWidth="1"/>
    <col min="8" max="8" width="17.33203125" style="4" bestFit="1" customWidth="1"/>
    <col min="9" max="9" width="20.6640625" style="4" bestFit="1" customWidth="1"/>
    <col min="10" max="10" width="19.33203125" style="4" bestFit="1" customWidth="1"/>
    <col min="11" max="11" width="20.109375" style="4" bestFit="1" customWidth="1"/>
    <col min="12" max="12" width="21.88671875" style="4" bestFit="1" customWidth="1"/>
    <col min="13" max="13" width="21.88671875" style="4" customWidth="1"/>
    <col min="14" max="14" width="4" style="4" bestFit="1" customWidth="1"/>
    <col min="15" max="15" width="33" style="4" bestFit="1" customWidth="1"/>
    <col min="16" max="16" width="18.33203125" style="4" bestFit="1" customWidth="1"/>
    <col min="17" max="17" width="17.33203125" style="4" bestFit="1" customWidth="1"/>
    <col min="18" max="18" width="20.6640625" style="4" bestFit="1" customWidth="1"/>
    <col min="19" max="19" width="19.33203125" style="4" bestFit="1" customWidth="1"/>
    <col min="20" max="20" width="20.109375" style="4" bestFit="1" customWidth="1"/>
    <col min="21" max="21" width="10.44140625" style="4" bestFit="1" customWidth="1"/>
    <col min="22" max="22" width="32.44140625" style="4" customWidth="1"/>
    <col min="23" max="23" width="29.21875" style="4" customWidth="1"/>
    <col min="24" max="24" width="49.77734375" style="4" bestFit="1" customWidth="1"/>
    <col min="25" max="16384" width="8.88671875" style="4"/>
  </cols>
  <sheetData>
    <row r="1" spans="1:24" ht="15" customHeight="1" x14ac:dyDescent="0.45">
      <c r="A1" s="1" t="s">
        <v>29</v>
      </c>
      <c r="B1" s="2" t="s">
        <v>5</v>
      </c>
      <c r="C1" s="2" t="s">
        <v>0</v>
      </c>
      <c r="D1" s="2" t="s">
        <v>6</v>
      </c>
      <c r="E1" s="2" t="s">
        <v>1</v>
      </c>
      <c r="F1" s="2" t="s">
        <v>19</v>
      </c>
      <c r="G1" s="2" t="s">
        <v>14</v>
      </c>
      <c r="H1" s="2" t="s">
        <v>16</v>
      </c>
      <c r="I1" s="2" t="s">
        <v>25</v>
      </c>
      <c r="J1" s="2" t="s">
        <v>8</v>
      </c>
      <c r="K1" s="2" t="s">
        <v>9</v>
      </c>
      <c r="L1" s="2" t="s">
        <v>84</v>
      </c>
      <c r="M1" s="2" t="s">
        <v>96</v>
      </c>
      <c r="N1" s="2"/>
      <c r="O1" s="2" t="s">
        <v>20</v>
      </c>
      <c r="P1" s="2" t="s">
        <v>15</v>
      </c>
      <c r="Q1" s="2" t="s">
        <v>18</v>
      </c>
      <c r="R1" s="2" t="s">
        <v>10</v>
      </c>
      <c r="S1" s="2" t="s">
        <v>11</v>
      </c>
      <c r="T1" s="2" t="s">
        <v>12</v>
      </c>
      <c r="U1" s="2" t="s">
        <v>2</v>
      </c>
      <c r="V1" s="2" t="s">
        <v>3</v>
      </c>
      <c r="W1" s="2" t="s">
        <v>37</v>
      </c>
      <c r="X1" s="3" t="s">
        <v>4</v>
      </c>
    </row>
    <row r="2" spans="1:24" x14ac:dyDescent="0.45">
      <c r="A2" s="5" cm="1">
        <f t="array" ref="A2:A100">_xlfn.SEQUENCE(99,1)</f>
        <v>1</v>
      </c>
      <c r="B2" s="6" t="s">
        <v>98</v>
      </c>
      <c r="C2" s="6" t="s">
        <v>99</v>
      </c>
      <c r="D2" s="6" t="s">
        <v>100</v>
      </c>
      <c r="E2" s="6" t="s">
        <v>13</v>
      </c>
      <c r="F2" s="6" t="s">
        <v>146</v>
      </c>
      <c r="G2" s="6" t="s">
        <v>134</v>
      </c>
      <c r="H2" s="6" t="s">
        <v>17</v>
      </c>
      <c r="I2" s="6" t="s">
        <v>101</v>
      </c>
      <c r="J2" s="6" t="s">
        <v>102</v>
      </c>
      <c r="K2" s="6">
        <v>68</v>
      </c>
      <c r="L2" s="39" t="s">
        <v>139</v>
      </c>
      <c r="M2" s="6" t="s">
        <v>141</v>
      </c>
      <c r="N2" s="7" t="s">
        <v>7</v>
      </c>
      <c r="O2" s="6" t="s">
        <v>63</v>
      </c>
      <c r="P2" s="6" t="s">
        <v>143</v>
      </c>
      <c r="Q2" s="6" t="s">
        <v>17</v>
      </c>
      <c r="R2" s="6" t="s">
        <v>145</v>
      </c>
      <c r="S2" s="6" t="s">
        <v>102</v>
      </c>
      <c r="T2" s="6">
        <v>67</v>
      </c>
      <c r="U2" s="6" t="s">
        <v>103</v>
      </c>
      <c r="V2" s="6" t="s">
        <v>104</v>
      </c>
      <c r="W2" s="11" t="s">
        <v>105</v>
      </c>
      <c r="X2" s="8" t="s">
        <v>106</v>
      </c>
    </row>
    <row r="3" spans="1:24" x14ac:dyDescent="0.45">
      <c r="A3" s="5">
        <v>2</v>
      </c>
      <c r="B3" s="6" t="s">
        <v>98</v>
      </c>
      <c r="C3" s="6" t="s">
        <v>99</v>
      </c>
      <c r="D3" s="6" t="s">
        <v>100</v>
      </c>
      <c r="E3" s="6" t="s">
        <v>13</v>
      </c>
      <c r="F3" s="6" t="s">
        <v>65</v>
      </c>
      <c r="G3" s="6" t="s">
        <v>131</v>
      </c>
      <c r="H3" s="6" t="s">
        <v>17</v>
      </c>
      <c r="I3" s="6" t="s">
        <v>108</v>
      </c>
      <c r="J3" s="6" t="s">
        <v>102</v>
      </c>
      <c r="K3" s="6">
        <v>68</v>
      </c>
      <c r="L3" s="39" t="s">
        <v>139</v>
      </c>
      <c r="M3" s="6" t="s">
        <v>141</v>
      </c>
      <c r="N3" s="7" t="s">
        <v>7</v>
      </c>
      <c r="O3" s="6" t="s">
        <v>63</v>
      </c>
      <c r="P3" s="6" t="s">
        <v>143</v>
      </c>
      <c r="Q3" s="6" t="s">
        <v>17</v>
      </c>
      <c r="R3" s="6" t="s">
        <v>145</v>
      </c>
      <c r="S3" s="6" t="s">
        <v>102</v>
      </c>
      <c r="T3" s="6">
        <v>67</v>
      </c>
      <c r="U3" s="6" t="s">
        <v>103</v>
      </c>
      <c r="V3" s="6" t="s">
        <v>104</v>
      </c>
      <c r="W3" s="11" t="s">
        <v>105</v>
      </c>
      <c r="X3" s="8" t="s">
        <v>106</v>
      </c>
    </row>
    <row r="4" spans="1:24" x14ac:dyDescent="0.45">
      <c r="A4" s="5">
        <v>3</v>
      </c>
      <c r="B4" s="6" t="s">
        <v>98</v>
      </c>
      <c r="C4" s="6" t="s">
        <v>99</v>
      </c>
      <c r="D4" s="6" t="s">
        <v>100</v>
      </c>
      <c r="E4" s="6" t="s">
        <v>13</v>
      </c>
      <c r="F4" s="6" t="s">
        <v>67</v>
      </c>
      <c r="G4" s="6" t="s">
        <v>136</v>
      </c>
      <c r="H4" s="6" t="s">
        <v>17</v>
      </c>
      <c r="I4" s="6" t="s">
        <v>110</v>
      </c>
      <c r="J4" s="6" t="s">
        <v>102</v>
      </c>
      <c r="K4" s="6">
        <v>68</v>
      </c>
      <c r="L4" s="39" t="s">
        <v>139</v>
      </c>
      <c r="M4" s="6" t="s">
        <v>141</v>
      </c>
      <c r="N4" s="7" t="s">
        <v>7</v>
      </c>
      <c r="O4" s="6" t="s">
        <v>63</v>
      </c>
      <c r="P4" s="6" t="s">
        <v>143</v>
      </c>
      <c r="Q4" s="6" t="s">
        <v>17</v>
      </c>
      <c r="R4" s="6" t="s">
        <v>145</v>
      </c>
      <c r="S4" s="6" t="s">
        <v>102</v>
      </c>
      <c r="T4" s="6">
        <v>67</v>
      </c>
      <c r="U4" s="6" t="s">
        <v>103</v>
      </c>
      <c r="V4" s="6" t="s">
        <v>104</v>
      </c>
      <c r="W4" s="11" t="s">
        <v>105</v>
      </c>
      <c r="X4" s="8" t="s">
        <v>106</v>
      </c>
    </row>
    <row r="5" spans="1:24" x14ac:dyDescent="0.45">
      <c r="A5" s="5">
        <v>4</v>
      </c>
      <c r="B5" s="6" t="s">
        <v>98</v>
      </c>
      <c r="C5" s="6" t="s">
        <v>99</v>
      </c>
      <c r="D5" s="6" t="s">
        <v>100</v>
      </c>
      <c r="E5" s="6" t="s">
        <v>13</v>
      </c>
      <c r="F5" s="6" t="s">
        <v>69</v>
      </c>
      <c r="G5" s="6" t="s">
        <v>137</v>
      </c>
      <c r="H5" s="6" t="s">
        <v>17</v>
      </c>
      <c r="I5" s="6" t="s">
        <v>112</v>
      </c>
      <c r="J5" s="6" t="s">
        <v>102</v>
      </c>
      <c r="K5" s="6">
        <v>68</v>
      </c>
      <c r="L5" s="39" t="s">
        <v>139</v>
      </c>
      <c r="M5" s="6" t="s">
        <v>141</v>
      </c>
      <c r="N5" s="7" t="s">
        <v>7</v>
      </c>
      <c r="O5" s="6" t="s">
        <v>63</v>
      </c>
      <c r="P5" s="6" t="s">
        <v>143</v>
      </c>
      <c r="Q5" s="6" t="s">
        <v>17</v>
      </c>
      <c r="R5" s="6" t="s">
        <v>145</v>
      </c>
      <c r="S5" s="6" t="s">
        <v>102</v>
      </c>
      <c r="T5" s="6">
        <v>67</v>
      </c>
      <c r="U5" s="6" t="s">
        <v>103</v>
      </c>
      <c r="V5" s="6" t="s">
        <v>104</v>
      </c>
      <c r="W5" s="11" t="s">
        <v>105</v>
      </c>
      <c r="X5" s="8" t="s">
        <v>106</v>
      </c>
    </row>
    <row r="6" spans="1:24" ht="31.5" x14ac:dyDescent="0.45">
      <c r="A6" s="32">
        <v>5</v>
      </c>
      <c r="B6" s="33" t="s">
        <v>98</v>
      </c>
      <c r="C6" s="33" t="s">
        <v>113</v>
      </c>
      <c r="D6" s="33" t="s">
        <v>114</v>
      </c>
      <c r="E6" s="33" t="s">
        <v>21</v>
      </c>
      <c r="F6" s="33" t="s">
        <v>63</v>
      </c>
      <c r="G6" s="33" t="s">
        <v>142</v>
      </c>
      <c r="H6" s="33" t="s">
        <v>17</v>
      </c>
      <c r="I6" s="33" t="s">
        <v>144</v>
      </c>
      <c r="J6" s="33" t="s">
        <v>102</v>
      </c>
      <c r="K6" s="33">
        <v>67</v>
      </c>
      <c r="L6" s="49" t="s">
        <v>139</v>
      </c>
      <c r="M6" s="33" t="s">
        <v>141</v>
      </c>
      <c r="N6" s="34" t="s">
        <v>7</v>
      </c>
      <c r="O6" s="33" t="s">
        <v>146</v>
      </c>
      <c r="P6" s="33" t="s">
        <v>134</v>
      </c>
      <c r="Q6" s="33" t="s">
        <v>26</v>
      </c>
      <c r="R6" s="33" t="s">
        <v>115</v>
      </c>
      <c r="S6" s="33" t="s">
        <v>116</v>
      </c>
      <c r="T6" s="33">
        <v>68</v>
      </c>
      <c r="U6" s="33" t="s">
        <v>103</v>
      </c>
      <c r="V6" s="35" t="s">
        <v>117</v>
      </c>
      <c r="W6" s="69" t="s">
        <v>105</v>
      </c>
      <c r="X6" s="36" t="s">
        <v>118</v>
      </c>
    </row>
    <row r="7" spans="1:24" ht="31.5" x14ac:dyDescent="0.45">
      <c r="A7" s="32">
        <v>6</v>
      </c>
      <c r="B7" s="33" t="s">
        <v>98</v>
      </c>
      <c r="C7" s="33" t="s">
        <v>113</v>
      </c>
      <c r="D7" s="33" t="s">
        <v>114</v>
      </c>
      <c r="E7" s="33" t="s">
        <v>21</v>
      </c>
      <c r="F7" s="33" t="s">
        <v>63</v>
      </c>
      <c r="G7" s="33" t="s">
        <v>142</v>
      </c>
      <c r="H7" s="33" t="s">
        <v>17</v>
      </c>
      <c r="I7" s="33" t="s">
        <v>144</v>
      </c>
      <c r="J7" s="33" t="s">
        <v>102</v>
      </c>
      <c r="K7" s="33">
        <v>67</v>
      </c>
      <c r="L7" s="49" t="s">
        <v>139</v>
      </c>
      <c r="M7" s="33" t="s">
        <v>141</v>
      </c>
      <c r="N7" s="34" t="s">
        <v>7</v>
      </c>
      <c r="O7" s="33" t="s">
        <v>64</v>
      </c>
      <c r="P7" s="33" t="s">
        <v>135</v>
      </c>
      <c r="Q7" s="33" t="s">
        <v>26</v>
      </c>
      <c r="R7" s="33" t="s">
        <v>119</v>
      </c>
      <c r="S7" s="33" t="s">
        <v>116</v>
      </c>
      <c r="T7" s="33">
        <v>68</v>
      </c>
      <c r="U7" s="33" t="s">
        <v>103</v>
      </c>
      <c r="V7" s="35" t="s">
        <v>117</v>
      </c>
      <c r="W7" s="69" t="s">
        <v>105</v>
      </c>
      <c r="X7" s="36" t="s">
        <v>118</v>
      </c>
    </row>
    <row r="8" spans="1:24" ht="31.5" x14ac:dyDescent="0.45">
      <c r="A8" s="32">
        <v>7</v>
      </c>
      <c r="B8" s="33" t="s">
        <v>98</v>
      </c>
      <c r="C8" s="33" t="s">
        <v>113</v>
      </c>
      <c r="D8" s="33" t="s">
        <v>114</v>
      </c>
      <c r="E8" s="33" t="s">
        <v>21</v>
      </c>
      <c r="F8" s="33" t="s">
        <v>63</v>
      </c>
      <c r="G8" s="33" t="s">
        <v>142</v>
      </c>
      <c r="H8" s="33" t="s">
        <v>17</v>
      </c>
      <c r="I8" s="33" t="s">
        <v>144</v>
      </c>
      <c r="J8" s="33" t="s">
        <v>102</v>
      </c>
      <c r="K8" s="33">
        <v>67</v>
      </c>
      <c r="L8" s="49" t="s">
        <v>139</v>
      </c>
      <c r="M8" s="33" t="s">
        <v>141</v>
      </c>
      <c r="N8" s="34" t="s">
        <v>7</v>
      </c>
      <c r="O8" s="33" t="s">
        <v>66</v>
      </c>
      <c r="P8" s="33" t="s">
        <v>136</v>
      </c>
      <c r="Q8" s="33" t="s">
        <v>26</v>
      </c>
      <c r="R8" s="33" t="s">
        <v>120</v>
      </c>
      <c r="S8" s="33" t="s">
        <v>116</v>
      </c>
      <c r="T8" s="33">
        <v>68</v>
      </c>
      <c r="U8" s="33" t="s">
        <v>103</v>
      </c>
      <c r="V8" s="35" t="s">
        <v>117</v>
      </c>
      <c r="W8" s="69" t="s">
        <v>105</v>
      </c>
      <c r="X8" s="36" t="s">
        <v>118</v>
      </c>
    </row>
    <row r="9" spans="1:24" ht="31.5" x14ac:dyDescent="0.45">
      <c r="A9" s="32">
        <v>8</v>
      </c>
      <c r="B9" s="33" t="s">
        <v>98</v>
      </c>
      <c r="C9" s="33" t="s">
        <v>113</v>
      </c>
      <c r="D9" s="33" t="s">
        <v>114</v>
      </c>
      <c r="E9" s="33" t="s">
        <v>21</v>
      </c>
      <c r="F9" s="33" t="s">
        <v>63</v>
      </c>
      <c r="G9" s="33" t="s">
        <v>142</v>
      </c>
      <c r="H9" s="33" t="s">
        <v>17</v>
      </c>
      <c r="I9" s="33" t="s">
        <v>144</v>
      </c>
      <c r="J9" s="33" t="s">
        <v>102</v>
      </c>
      <c r="K9" s="33">
        <v>67</v>
      </c>
      <c r="L9" s="49" t="s">
        <v>139</v>
      </c>
      <c r="M9" s="33" t="s">
        <v>141</v>
      </c>
      <c r="N9" s="34" t="s">
        <v>7</v>
      </c>
      <c r="O9" s="33" t="s">
        <v>68</v>
      </c>
      <c r="P9" s="33" t="s">
        <v>137</v>
      </c>
      <c r="Q9" s="33" t="s">
        <v>26</v>
      </c>
      <c r="R9" s="33" t="s">
        <v>121</v>
      </c>
      <c r="S9" s="33" t="s">
        <v>116</v>
      </c>
      <c r="T9" s="33">
        <v>68</v>
      </c>
      <c r="U9" s="33" t="s">
        <v>103</v>
      </c>
      <c r="V9" s="35" t="s">
        <v>117</v>
      </c>
      <c r="W9" s="69" t="s">
        <v>105</v>
      </c>
      <c r="X9" s="36" t="s">
        <v>118</v>
      </c>
    </row>
    <row r="10" spans="1:24" ht="31.5" x14ac:dyDescent="0.45">
      <c r="A10" s="5">
        <v>9</v>
      </c>
      <c r="B10" s="6" t="s">
        <v>165</v>
      </c>
      <c r="C10" s="6" t="s">
        <v>166</v>
      </c>
      <c r="D10" s="6" t="s">
        <v>167</v>
      </c>
      <c r="E10" s="6" t="s">
        <v>168</v>
      </c>
      <c r="F10" s="6" t="s">
        <v>61</v>
      </c>
      <c r="G10" s="6" t="s">
        <v>177</v>
      </c>
      <c r="H10" s="6" t="s">
        <v>71</v>
      </c>
      <c r="I10" s="6" t="s">
        <v>183</v>
      </c>
      <c r="J10" s="6" t="s">
        <v>116</v>
      </c>
      <c r="K10" s="6" t="s">
        <v>169</v>
      </c>
      <c r="L10" s="39" t="s">
        <v>200</v>
      </c>
      <c r="M10" s="6" t="s">
        <v>201</v>
      </c>
      <c r="N10" s="7" t="s">
        <v>170</v>
      </c>
      <c r="O10" s="6" t="s">
        <v>67</v>
      </c>
      <c r="P10" s="6" t="s">
        <v>132</v>
      </c>
      <c r="Q10" s="6" t="s">
        <v>26</v>
      </c>
      <c r="R10" s="6" t="s">
        <v>189</v>
      </c>
      <c r="S10" s="6" t="s">
        <v>116</v>
      </c>
      <c r="T10" s="6">
        <v>123</v>
      </c>
      <c r="U10" s="6" t="s">
        <v>103</v>
      </c>
      <c r="V10" s="10" t="s">
        <v>171</v>
      </c>
      <c r="W10" s="11" t="s">
        <v>172</v>
      </c>
      <c r="X10" s="6" t="s">
        <v>173</v>
      </c>
    </row>
    <row r="11" spans="1:24" ht="31.5" x14ac:dyDescent="0.45">
      <c r="A11" s="5">
        <v>10</v>
      </c>
      <c r="B11" s="6" t="s">
        <v>165</v>
      </c>
      <c r="C11" s="6" t="s">
        <v>166</v>
      </c>
      <c r="D11" s="6" t="s">
        <v>167</v>
      </c>
      <c r="E11" s="6" t="s">
        <v>13</v>
      </c>
      <c r="F11" s="6" t="s">
        <v>146</v>
      </c>
      <c r="G11" s="6" t="s">
        <v>130</v>
      </c>
      <c r="H11" s="6" t="s">
        <v>26</v>
      </c>
      <c r="I11" s="6" t="s">
        <v>145</v>
      </c>
      <c r="J11" s="6" t="s">
        <v>116</v>
      </c>
      <c r="K11" s="6" t="s">
        <v>169</v>
      </c>
      <c r="L11" s="39" t="s">
        <v>200</v>
      </c>
      <c r="M11" s="6" t="s">
        <v>201</v>
      </c>
      <c r="N11" s="7" t="s">
        <v>170</v>
      </c>
      <c r="O11" s="6" t="s">
        <v>67</v>
      </c>
      <c r="P11" s="6" t="s">
        <v>132</v>
      </c>
      <c r="Q11" s="6" t="s">
        <v>26</v>
      </c>
      <c r="R11" s="6" t="s">
        <v>189</v>
      </c>
      <c r="S11" s="6" t="s">
        <v>116</v>
      </c>
      <c r="T11" s="6">
        <v>123</v>
      </c>
      <c r="U11" s="6" t="s">
        <v>103</v>
      </c>
      <c r="V11" s="10" t="s">
        <v>171</v>
      </c>
      <c r="W11" s="11" t="s">
        <v>172</v>
      </c>
      <c r="X11" s="6" t="s">
        <v>173</v>
      </c>
    </row>
    <row r="12" spans="1:24" ht="31.5" x14ac:dyDescent="0.45">
      <c r="A12" s="5">
        <v>11</v>
      </c>
      <c r="B12" s="6" t="s">
        <v>165</v>
      </c>
      <c r="C12" s="6" t="s">
        <v>166</v>
      </c>
      <c r="D12" s="6" t="s">
        <v>167</v>
      </c>
      <c r="E12" s="6" t="s">
        <v>168</v>
      </c>
      <c r="F12" s="6" t="s">
        <v>27</v>
      </c>
      <c r="G12" s="6" t="s">
        <v>142</v>
      </c>
      <c r="H12" s="6" t="s">
        <v>26</v>
      </c>
      <c r="I12" s="6" t="s">
        <v>185</v>
      </c>
      <c r="J12" s="6" t="s">
        <v>116</v>
      </c>
      <c r="K12" s="6" t="s">
        <v>169</v>
      </c>
      <c r="L12" s="39" t="s">
        <v>200</v>
      </c>
      <c r="M12" s="6" t="s">
        <v>201</v>
      </c>
      <c r="N12" s="7" t="s">
        <v>170</v>
      </c>
      <c r="O12" s="6" t="s">
        <v>67</v>
      </c>
      <c r="P12" s="6" t="s">
        <v>132</v>
      </c>
      <c r="Q12" s="6" t="s">
        <v>26</v>
      </c>
      <c r="R12" s="6" t="s">
        <v>189</v>
      </c>
      <c r="S12" s="6" t="s">
        <v>116</v>
      </c>
      <c r="T12" s="6">
        <v>123</v>
      </c>
      <c r="U12" s="6" t="s">
        <v>103</v>
      </c>
      <c r="V12" s="10" t="s">
        <v>171</v>
      </c>
      <c r="W12" s="11" t="s">
        <v>172</v>
      </c>
      <c r="X12" s="6" t="s">
        <v>173</v>
      </c>
    </row>
    <row r="13" spans="1:24" ht="31.5" x14ac:dyDescent="0.45">
      <c r="A13" s="5">
        <v>12</v>
      </c>
      <c r="B13" s="6" t="s">
        <v>165</v>
      </c>
      <c r="C13" s="6" t="s">
        <v>166</v>
      </c>
      <c r="D13" s="6" t="s">
        <v>167</v>
      </c>
      <c r="E13" s="6" t="s">
        <v>168</v>
      </c>
      <c r="F13" s="6" t="s">
        <v>64</v>
      </c>
      <c r="G13" s="6" t="s">
        <v>135</v>
      </c>
      <c r="H13" s="6" t="s">
        <v>26</v>
      </c>
      <c r="I13" s="6" t="s">
        <v>187</v>
      </c>
      <c r="J13" s="6" t="s">
        <v>116</v>
      </c>
      <c r="K13" s="6" t="s">
        <v>169</v>
      </c>
      <c r="L13" s="39" t="s">
        <v>200</v>
      </c>
      <c r="M13" s="6" t="s">
        <v>201</v>
      </c>
      <c r="N13" s="7" t="s">
        <v>170</v>
      </c>
      <c r="O13" s="6" t="s">
        <v>67</v>
      </c>
      <c r="P13" s="6" t="s">
        <v>132</v>
      </c>
      <c r="Q13" s="6" t="s">
        <v>26</v>
      </c>
      <c r="R13" s="6" t="s">
        <v>189</v>
      </c>
      <c r="S13" s="6" t="s">
        <v>116</v>
      </c>
      <c r="T13" s="6">
        <v>123</v>
      </c>
      <c r="U13" s="6" t="s">
        <v>103</v>
      </c>
      <c r="V13" s="10" t="s">
        <v>171</v>
      </c>
      <c r="W13" s="11" t="s">
        <v>172</v>
      </c>
      <c r="X13" s="6" t="s">
        <v>173</v>
      </c>
    </row>
    <row r="14" spans="1:24" ht="31.5" x14ac:dyDescent="0.45">
      <c r="A14" s="5">
        <v>13</v>
      </c>
      <c r="B14" s="6" t="s">
        <v>165</v>
      </c>
      <c r="C14" s="6" t="s">
        <v>166</v>
      </c>
      <c r="D14" s="6" t="s">
        <v>167</v>
      </c>
      <c r="E14" s="6" t="s">
        <v>13</v>
      </c>
      <c r="F14" s="6" t="s">
        <v>68</v>
      </c>
      <c r="G14" s="6" t="s">
        <v>137</v>
      </c>
      <c r="H14" s="6" t="s">
        <v>26</v>
      </c>
      <c r="I14" s="6" t="s">
        <v>191</v>
      </c>
      <c r="J14" s="6" t="s">
        <v>116</v>
      </c>
      <c r="K14" s="6" t="s">
        <v>169</v>
      </c>
      <c r="L14" s="39" t="s">
        <v>200</v>
      </c>
      <c r="M14" s="6" t="s">
        <v>201</v>
      </c>
      <c r="N14" s="7" t="s">
        <v>170</v>
      </c>
      <c r="O14" s="6" t="s">
        <v>67</v>
      </c>
      <c r="P14" s="6" t="s">
        <v>132</v>
      </c>
      <c r="Q14" s="6" t="s">
        <v>26</v>
      </c>
      <c r="R14" s="6" t="s">
        <v>189</v>
      </c>
      <c r="S14" s="6" t="s">
        <v>116</v>
      </c>
      <c r="T14" s="6">
        <v>123</v>
      </c>
      <c r="U14" s="6" t="s">
        <v>103</v>
      </c>
      <c r="V14" s="10" t="s">
        <v>171</v>
      </c>
      <c r="W14" s="11" t="s">
        <v>172</v>
      </c>
      <c r="X14" s="6" t="s">
        <v>173</v>
      </c>
    </row>
    <row r="15" spans="1:24" ht="31.5" x14ac:dyDescent="0.45">
      <c r="A15" s="5">
        <v>14</v>
      </c>
      <c r="B15" s="6" t="s">
        <v>165</v>
      </c>
      <c r="C15" s="6" t="s">
        <v>166</v>
      </c>
      <c r="D15" s="6" t="s">
        <v>167</v>
      </c>
      <c r="E15" s="6" t="s">
        <v>13</v>
      </c>
      <c r="F15" s="6" t="s">
        <v>60</v>
      </c>
      <c r="G15" s="6" t="s">
        <v>178</v>
      </c>
      <c r="H15" s="6" t="s">
        <v>26</v>
      </c>
      <c r="I15" s="6" t="s">
        <v>193</v>
      </c>
      <c r="J15" s="6" t="s">
        <v>116</v>
      </c>
      <c r="K15" s="6" t="s">
        <v>169</v>
      </c>
      <c r="L15" s="39" t="s">
        <v>200</v>
      </c>
      <c r="M15" s="6" t="s">
        <v>203</v>
      </c>
      <c r="N15" s="7" t="s">
        <v>170</v>
      </c>
      <c r="O15" s="6" t="s">
        <v>67</v>
      </c>
      <c r="P15" s="6" t="s">
        <v>132</v>
      </c>
      <c r="Q15" s="6" t="s">
        <v>26</v>
      </c>
      <c r="R15" s="6" t="s">
        <v>189</v>
      </c>
      <c r="S15" s="6" t="s">
        <v>116</v>
      </c>
      <c r="T15" s="6">
        <v>123</v>
      </c>
      <c r="U15" s="6" t="s">
        <v>103</v>
      </c>
      <c r="V15" s="10" t="s">
        <v>171</v>
      </c>
      <c r="W15" s="11" t="s">
        <v>172</v>
      </c>
      <c r="X15" s="6" t="s">
        <v>173</v>
      </c>
    </row>
    <row r="16" spans="1:24" ht="31.5" x14ac:dyDescent="0.45">
      <c r="A16" s="5">
        <v>15</v>
      </c>
      <c r="B16" s="6" t="s">
        <v>165</v>
      </c>
      <c r="C16" s="6" t="s">
        <v>166</v>
      </c>
      <c r="D16" s="6" t="s">
        <v>167</v>
      </c>
      <c r="E16" s="6" t="s">
        <v>13</v>
      </c>
      <c r="F16" s="6" t="s">
        <v>22</v>
      </c>
      <c r="G16" s="6" t="s">
        <v>179</v>
      </c>
      <c r="H16" s="6" t="s">
        <v>26</v>
      </c>
      <c r="I16" s="6" t="s">
        <v>195</v>
      </c>
      <c r="J16" s="6" t="s">
        <v>116</v>
      </c>
      <c r="K16" s="6" t="s">
        <v>169</v>
      </c>
      <c r="L16" s="39" t="s">
        <v>200</v>
      </c>
      <c r="M16" s="6" t="s">
        <v>203</v>
      </c>
      <c r="N16" s="7" t="s">
        <v>170</v>
      </c>
      <c r="O16" s="6" t="s">
        <v>67</v>
      </c>
      <c r="P16" s="6" t="s">
        <v>132</v>
      </c>
      <c r="Q16" s="6" t="s">
        <v>26</v>
      </c>
      <c r="R16" s="6" t="s">
        <v>189</v>
      </c>
      <c r="S16" s="6" t="s">
        <v>116</v>
      </c>
      <c r="T16" s="6">
        <v>123</v>
      </c>
      <c r="U16" s="6" t="s">
        <v>103</v>
      </c>
      <c r="V16" s="10" t="s">
        <v>171</v>
      </c>
      <c r="W16" s="11" t="s">
        <v>172</v>
      </c>
      <c r="X16" s="6" t="s">
        <v>173</v>
      </c>
    </row>
    <row r="17" spans="1:24" ht="31.5" x14ac:dyDescent="0.45">
      <c r="A17" s="5">
        <v>16</v>
      </c>
      <c r="B17" s="6" t="s">
        <v>165</v>
      </c>
      <c r="C17" s="6" t="s">
        <v>166</v>
      </c>
      <c r="D17" s="6" t="s">
        <v>167</v>
      </c>
      <c r="E17" s="6" t="s">
        <v>13</v>
      </c>
      <c r="F17" s="6" t="s">
        <v>23</v>
      </c>
      <c r="G17" s="6" t="s">
        <v>180</v>
      </c>
      <c r="H17" s="6" t="s">
        <v>26</v>
      </c>
      <c r="I17" s="6" t="s">
        <v>197</v>
      </c>
      <c r="J17" s="6" t="s">
        <v>116</v>
      </c>
      <c r="K17" s="6" t="s">
        <v>169</v>
      </c>
      <c r="L17" s="39" t="s">
        <v>200</v>
      </c>
      <c r="M17" s="6" t="s">
        <v>203</v>
      </c>
      <c r="N17" s="7" t="s">
        <v>170</v>
      </c>
      <c r="O17" s="6" t="s">
        <v>67</v>
      </c>
      <c r="P17" s="6" t="s">
        <v>132</v>
      </c>
      <c r="Q17" s="6" t="s">
        <v>26</v>
      </c>
      <c r="R17" s="6" t="s">
        <v>189</v>
      </c>
      <c r="S17" s="6" t="s">
        <v>116</v>
      </c>
      <c r="T17" s="6">
        <v>123</v>
      </c>
      <c r="U17" s="6" t="s">
        <v>103</v>
      </c>
      <c r="V17" s="10" t="s">
        <v>171</v>
      </c>
      <c r="W17" s="11" t="s">
        <v>172</v>
      </c>
      <c r="X17" s="6" t="s">
        <v>173</v>
      </c>
    </row>
    <row r="18" spans="1:24" ht="31.5" x14ac:dyDescent="0.45">
      <c r="A18" s="5">
        <v>17</v>
      </c>
      <c r="B18" s="6" t="s">
        <v>165</v>
      </c>
      <c r="C18" s="6" t="s">
        <v>166</v>
      </c>
      <c r="D18" s="6" t="s">
        <v>167</v>
      </c>
      <c r="E18" s="6" t="s">
        <v>13</v>
      </c>
      <c r="F18" s="6" t="s">
        <v>24</v>
      </c>
      <c r="G18" s="6" t="s">
        <v>181</v>
      </c>
      <c r="H18" s="6" t="s">
        <v>26</v>
      </c>
      <c r="I18" s="6" t="s">
        <v>199</v>
      </c>
      <c r="J18" s="6" t="s">
        <v>116</v>
      </c>
      <c r="K18" s="6" t="s">
        <v>169</v>
      </c>
      <c r="L18" s="39" t="s">
        <v>200</v>
      </c>
      <c r="M18" s="6" t="s">
        <v>203</v>
      </c>
      <c r="N18" s="7" t="s">
        <v>170</v>
      </c>
      <c r="O18" s="6" t="s">
        <v>67</v>
      </c>
      <c r="P18" s="6" t="s">
        <v>132</v>
      </c>
      <c r="Q18" s="6" t="s">
        <v>26</v>
      </c>
      <c r="R18" s="6" t="s">
        <v>189</v>
      </c>
      <c r="S18" s="6" t="s">
        <v>116</v>
      </c>
      <c r="T18" s="6">
        <v>123</v>
      </c>
      <c r="U18" s="6" t="s">
        <v>103</v>
      </c>
      <c r="V18" s="10" t="s">
        <v>171</v>
      </c>
      <c r="W18" s="11" t="s">
        <v>172</v>
      </c>
      <c r="X18" s="6" t="s">
        <v>173</v>
      </c>
    </row>
    <row r="19" spans="1:24" ht="31.5" x14ac:dyDescent="0.45">
      <c r="A19" s="46">
        <v>18</v>
      </c>
      <c r="B19" s="47" t="s">
        <v>165</v>
      </c>
      <c r="C19" s="47" t="s">
        <v>174</v>
      </c>
      <c r="D19" s="47" t="s">
        <v>175</v>
      </c>
      <c r="E19" s="47" t="s">
        <v>176</v>
      </c>
      <c r="F19" s="47" t="s">
        <v>67</v>
      </c>
      <c r="G19" s="47" t="s">
        <v>136</v>
      </c>
      <c r="H19" s="47" t="s">
        <v>26</v>
      </c>
      <c r="I19" s="47" t="s">
        <v>188</v>
      </c>
      <c r="J19" s="47" t="s">
        <v>116</v>
      </c>
      <c r="K19" s="47">
        <v>123</v>
      </c>
      <c r="L19" s="50" t="s">
        <v>200</v>
      </c>
      <c r="M19" s="47" t="s">
        <v>140</v>
      </c>
      <c r="N19" s="37" t="s">
        <v>170</v>
      </c>
      <c r="O19" s="47" t="s">
        <v>61</v>
      </c>
      <c r="P19" s="47" t="s">
        <v>177</v>
      </c>
      <c r="Q19" s="47" t="s">
        <v>70</v>
      </c>
      <c r="R19" s="47" t="s">
        <v>182</v>
      </c>
      <c r="S19" s="47" t="s">
        <v>116</v>
      </c>
      <c r="T19" s="47" t="s">
        <v>169</v>
      </c>
      <c r="U19" s="47" t="s">
        <v>103</v>
      </c>
      <c r="V19" s="48" t="s">
        <v>171</v>
      </c>
      <c r="W19" s="70" t="s">
        <v>172</v>
      </c>
      <c r="X19" s="47" t="s">
        <v>204</v>
      </c>
    </row>
    <row r="20" spans="1:24" ht="31.5" x14ac:dyDescent="0.45">
      <c r="A20" s="46">
        <v>19</v>
      </c>
      <c r="B20" s="47" t="s">
        <v>165</v>
      </c>
      <c r="C20" s="47" t="s">
        <v>174</v>
      </c>
      <c r="D20" s="47" t="s">
        <v>175</v>
      </c>
      <c r="E20" s="47" t="s">
        <v>176</v>
      </c>
      <c r="F20" s="47" t="s">
        <v>67</v>
      </c>
      <c r="G20" s="47" t="s">
        <v>136</v>
      </c>
      <c r="H20" s="47" t="s">
        <v>26</v>
      </c>
      <c r="I20" s="47" t="s">
        <v>188</v>
      </c>
      <c r="J20" s="47" t="s">
        <v>116</v>
      </c>
      <c r="K20" s="47">
        <v>123</v>
      </c>
      <c r="L20" s="50" t="s">
        <v>200</v>
      </c>
      <c r="M20" s="47" t="s">
        <v>140</v>
      </c>
      <c r="N20" s="37" t="s">
        <v>170</v>
      </c>
      <c r="O20" s="47" t="s">
        <v>146</v>
      </c>
      <c r="P20" s="47" t="s">
        <v>134</v>
      </c>
      <c r="Q20" s="47" t="s">
        <v>26</v>
      </c>
      <c r="R20" s="47" t="s">
        <v>144</v>
      </c>
      <c r="S20" s="47" t="s">
        <v>116</v>
      </c>
      <c r="T20" s="47" t="s">
        <v>169</v>
      </c>
      <c r="U20" s="47" t="s">
        <v>103</v>
      </c>
      <c r="V20" s="48" t="s">
        <v>171</v>
      </c>
      <c r="W20" s="70" t="s">
        <v>172</v>
      </c>
      <c r="X20" s="47" t="s">
        <v>204</v>
      </c>
    </row>
    <row r="21" spans="1:24" ht="31.5" x14ac:dyDescent="0.45">
      <c r="A21" s="46">
        <v>20</v>
      </c>
      <c r="B21" s="47" t="s">
        <v>165</v>
      </c>
      <c r="C21" s="47" t="s">
        <v>174</v>
      </c>
      <c r="D21" s="47" t="s">
        <v>175</v>
      </c>
      <c r="E21" s="47" t="s">
        <v>176</v>
      </c>
      <c r="F21" s="47" t="s">
        <v>67</v>
      </c>
      <c r="G21" s="47" t="s">
        <v>136</v>
      </c>
      <c r="H21" s="47" t="s">
        <v>26</v>
      </c>
      <c r="I21" s="47" t="s">
        <v>188</v>
      </c>
      <c r="J21" s="47" t="s">
        <v>116</v>
      </c>
      <c r="K21" s="47">
        <v>123</v>
      </c>
      <c r="L21" s="50" t="s">
        <v>200</v>
      </c>
      <c r="M21" s="47" t="s">
        <v>140</v>
      </c>
      <c r="N21" s="37" t="s">
        <v>170</v>
      </c>
      <c r="O21" s="47" t="s">
        <v>27</v>
      </c>
      <c r="P21" s="47" t="s">
        <v>142</v>
      </c>
      <c r="Q21" s="47" t="s">
        <v>26</v>
      </c>
      <c r="R21" s="47" t="s">
        <v>184</v>
      </c>
      <c r="S21" s="47" t="s">
        <v>116</v>
      </c>
      <c r="T21" s="47" t="s">
        <v>169</v>
      </c>
      <c r="U21" s="47" t="s">
        <v>103</v>
      </c>
      <c r="V21" s="48" t="s">
        <v>171</v>
      </c>
      <c r="W21" s="70" t="s">
        <v>172</v>
      </c>
      <c r="X21" s="47" t="s">
        <v>204</v>
      </c>
    </row>
    <row r="22" spans="1:24" ht="31.5" x14ac:dyDescent="0.45">
      <c r="A22" s="46">
        <v>21</v>
      </c>
      <c r="B22" s="47" t="s">
        <v>165</v>
      </c>
      <c r="C22" s="47" t="s">
        <v>174</v>
      </c>
      <c r="D22" s="47" t="s">
        <v>175</v>
      </c>
      <c r="E22" s="47" t="s">
        <v>176</v>
      </c>
      <c r="F22" s="47" t="s">
        <v>67</v>
      </c>
      <c r="G22" s="47" t="s">
        <v>136</v>
      </c>
      <c r="H22" s="47" t="s">
        <v>26</v>
      </c>
      <c r="I22" s="47" t="s">
        <v>188</v>
      </c>
      <c r="J22" s="47" t="s">
        <v>116</v>
      </c>
      <c r="K22" s="47">
        <v>123</v>
      </c>
      <c r="L22" s="50" t="s">
        <v>200</v>
      </c>
      <c r="M22" s="47" t="s">
        <v>140</v>
      </c>
      <c r="N22" s="37" t="s">
        <v>170</v>
      </c>
      <c r="O22" s="47" t="s">
        <v>64</v>
      </c>
      <c r="P22" s="47" t="s">
        <v>135</v>
      </c>
      <c r="Q22" s="47" t="s">
        <v>26</v>
      </c>
      <c r="R22" s="47" t="s">
        <v>186</v>
      </c>
      <c r="S22" s="47" t="s">
        <v>116</v>
      </c>
      <c r="T22" s="47" t="s">
        <v>169</v>
      </c>
      <c r="U22" s="47" t="s">
        <v>103</v>
      </c>
      <c r="V22" s="48" t="s">
        <v>171</v>
      </c>
      <c r="W22" s="70" t="s">
        <v>172</v>
      </c>
      <c r="X22" s="47" t="s">
        <v>204</v>
      </c>
    </row>
    <row r="23" spans="1:24" ht="31.5" x14ac:dyDescent="0.45">
      <c r="A23" s="46">
        <v>22</v>
      </c>
      <c r="B23" s="47" t="s">
        <v>165</v>
      </c>
      <c r="C23" s="47" t="s">
        <v>174</v>
      </c>
      <c r="D23" s="47" t="s">
        <v>175</v>
      </c>
      <c r="E23" s="47" t="s">
        <v>176</v>
      </c>
      <c r="F23" s="47" t="s">
        <v>67</v>
      </c>
      <c r="G23" s="47" t="s">
        <v>136</v>
      </c>
      <c r="H23" s="47" t="s">
        <v>26</v>
      </c>
      <c r="I23" s="47" t="s">
        <v>188</v>
      </c>
      <c r="J23" s="47" t="s">
        <v>116</v>
      </c>
      <c r="K23" s="47">
        <v>123</v>
      </c>
      <c r="L23" s="50" t="s">
        <v>200</v>
      </c>
      <c r="M23" s="47" t="s">
        <v>140</v>
      </c>
      <c r="N23" s="37" t="s">
        <v>170</v>
      </c>
      <c r="O23" s="47" t="s">
        <v>68</v>
      </c>
      <c r="P23" s="47" t="s">
        <v>137</v>
      </c>
      <c r="Q23" s="47" t="s">
        <v>26</v>
      </c>
      <c r="R23" s="47" t="s">
        <v>190</v>
      </c>
      <c r="S23" s="47" t="s">
        <v>116</v>
      </c>
      <c r="T23" s="47" t="s">
        <v>169</v>
      </c>
      <c r="U23" s="47" t="s">
        <v>103</v>
      </c>
      <c r="V23" s="48" t="s">
        <v>171</v>
      </c>
      <c r="W23" s="70" t="s">
        <v>172</v>
      </c>
      <c r="X23" s="47" t="s">
        <v>204</v>
      </c>
    </row>
    <row r="24" spans="1:24" ht="31.5" x14ac:dyDescent="0.45">
      <c r="A24" s="46">
        <v>23</v>
      </c>
      <c r="B24" s="47" t="s">
        <v>165</v>
      </c>
      <c r="C24" s="47" t="s">
        <v>174</v>
      </c>
      <c r="D24" s="47" t="s">
        <v>175</v>
      </c>
      <c r="E24" s="47" t="s">
        <v>176</v>
      </c>
      <c r="F24" s="47" t="s">
        <v>67</v>
      </c>
      <c r="G24" s="47" t="s">
        <v>136</v>
      </c>
      <c r="H24" s="47" t="s">
        <v>26</v>
      </c>
      <c r="I24" s="47" t="s">
        <v>188</v>
      </c>
      <c r="J24" s="47" t="s">
        <v>116</v>
      </c>
      <c r="K24" s="47">
        <v>123</v>
      </c>
      <c r="L24" s="50" t="s">
        <v>200</v>
      </c>
      <c r="M24" s="47" t="s">
        <v>202</v>
      </c>
      <c r="N24" s="37" t="s">
        <v>170</v>
      </c>
      <c r="O24" s="47" t="s">
        <v>60</v>
      </c>
      <c r="P24" s="47" t="s">
        <v>178</v>
      </c>
      <c r="Q24" s="47" t="s">
        <v>26</v>
      </c>
      <c r="R24" s="47" t="s">
        <v>192</v>
      </c>
      <c r="S24" s="47" t="s">
        <v>116</v>
      </c>
      <c r="T24" s="47" t="s">
        <v>169</v>
      </c>
      <c r="U24" s="47" t="s">
        <v>103</v>
      </c>
      <c r="V24" s="48" t="s">
        <v>171</v>
      </c>
      <c r="W24" s="70" t="s">
        <v>172</v>
      </c>
      <c r="X24" s="47" t="s">
        <v>204</v>
      </c>
    </row>
    <row r="25" spans="1:24" ht="31.5" x14ac:dyDescent="0.45">
      <c r="A25" s="46">
        <v>24</v>
      </c>
      <c r="B25" s="47" t="s">
        <v>165</v>
      </c>
      <c r="C25" s="47" t="s">
        <v>174</v>
      </c>
      <c r="D25" s="47" t="s">
        <v>175</v>
      </c>
      <c r="E25" s="47" t="s">
        <v>176</v>
      </c>
      <c r="F25" s="47" t="s">
        <v>67</v>
      </c>
      <c r="G25" s="47" t="s">
        <v>136</v>
      </c>
      <c r="H25" s="47" t="s">
        <v>26</v>
      </c>
      <c r="I25" s="47" t="s">
        <v>188</v>
      </c>
      <c r="J25" s="47" t="s">
        <v>116</v>
      </c>
      <c r="K25" s="47">
        <v>123</v>
      </c>
      <c r="L25" s="50" t="s">
        <v>200</v>
      </c>
      <c r="M25" s="47" t="s">
        <v>202</v>
      </c>
      <c r="N25" s="37" t="s">
        <v>170</v>
      </c>
      <c r="O25" s="47" t="s">
        <v>22</v>
      </c>
      <c r="P25" s="47" t="s">
        <v>179</v>
      </c>
      <c r="Q25" s="47" t="s">
        <v>26</v>
      </c>
      <c r="R25" s="47" t="s">
        <v>194</v>
      </c>
      <c r="S25" s="47" t="s">
        <v>116</v>
      </c>
      <c r="T25" s="47" t="s">
        <v>169</v>
      </c>
      <c r="U25" s="47" t="s">
        <v>103</v>
      </c>
      <c r="V25" s="48" t="s">
        <v>171</v>
      </c>
      <c r="W25" s="70" t="s">
        <v>172</v>
      </c>
      <c r="X25" s="47" t="s">
        <v>204</v>
      </c>
    </row>
    <row r="26" spans="1:24" ht="31.5" x14ac:dyDescent="0.45">
      <c r="A26" s="46">
        <v>25</v>
      </c>
      <c r="B26" s="47" t="s">
        <v>165</v>
      </c>
      <c r="C26" s="47" t="s">
        <v>174</v>
      </c>
      <c r="D26" s="47" t="s">
        <v>175</v>
      </c>
      <c r="E26" s="47" t="s">
        <v>176</v>
      </c>
      <c r="F26" s="47" t="s">
        <v>67</v>
      </c>
      <c r="G26" s="47" t="s">
        <v>136</v>
      </c>
      <c r="H26" s="47" t="s">
        <v>26</v>
      </c>
      <c r="I26" s="47" t="s">
        <v>188</v>
      </c>
      <c r="J26" s="47" t="s">
        <v>116</v>
      </c>
      <c r="K26" s="47">
        <v>123</v>
      </c>
      <c r="L26" s="50" t="s">
        <v>200</v>
      </c>
      <c r="M26" s="47" t="s">
        <v>202</v>
      </c>
      <c r="N26" s="37" t="s">
        <v>170</v>
      </c>
      <c r="O26" s="47" t="s">
        <v>23</v>
      </c>
      <c r="P26" s="47" t="s">
        <v>180</v>
      </c>
      <c r="Q26" s="47" t="s">
        <v>26</v>
      </c>
      <c r="R26" s="47" t="s">
        <v>196</v>
      </c>
      <c r="S26" s="47" t="s">
        <v>116</v>
      </c>
      <c r="T26" s="47" t="s">
        <v>169</v>
      </c>
      <c r="U26" s="47" t="s">
        <v>103</v>
      </c>
      <c r="V26" s="48" t="s">
        <v>171</v>
      </c>
      <c r="W26" s="70" t="s">
        <v>172</v>
      </c>
      <c r="X26" s="47" t="s">
        <v>204</v>
      </c>
    </row>
    <row r="27" spans="1:24" ht="31.5" x14ac:dyDescent="0.45">
      <c r="A27" s="46">
        <v>26</v>
      </c>
      <c r="B27" s="47" t="s">
        <v>165</v>
      </c>
      <c r="C27" s="47" t="s">
        <v>174</v>
      </c>
      <c r="D27" s="47" t="s">
        <v>175</v>
      </c>
      <c r="E27" s="47" t="s">
        <v>176</v>
      </c>
      <c r="F27" s="47" t="s">
        <v>67</v>
      </c>
      <c r="G27" s="47" t="s">
        <v>136</v>
      </c>
      <c r="H27" s="47" t="s">
        <v>26</v>
      </c>
      <c r="I27" s="47" t="s">
        <v>188</v>
      </c>
      <c r="J27" s="47" t="s">
        <v>116</v>
      </c>
      <c r="K27" s="47">
        <v>123</v>
      </c>
      <c r="L27" s="50" t="s">
        <v>200</v>
      </c>
      <c r="M27" s="47" t="s">
        <v>202</v>
      </c>
      <c r="N27" s="37" t="s">
        <v>170</v>
      </c>
      <c r="O27" s="47" t="s">
        <v>24</v>
      </c>
      <c r="P27" s="47" t="s">
        <v>181</v>
      </c>
      <c r="Q27" s="47" t="s">
        <v>26</v>
      </c>
      <c r="R27" s="47" t="s">
        <v>199</v>
      </c>
      <c r="S27" s="47" t="s">
        <v>116</v>
      </c>
      <c r="T27" s="47" t="s">
        <v>169</v>
      </c>
      <c r="U27" s="47" t="s">
        <v>103</v>
      </c>
      <c r="V27" s="48" t="s">
        <v>171</v>
      </c>
      <c r="W27" s="70" t="s">
        <v>172</v>
      </c>
      <c r="X27" s="47" t="s">
        <v>204</v>
      </c>
    </row>
    <row r="28" spans="1:24" ht="47.25" x14ac:dyDescent="0.45">
      <c r="A28" s="13">
        <v>27</v>
      </c>
      <c r="B28" s="14" t="s">
        <v>205</v>
      </c>
      <c r="C28" s="14" t="s">
        <v>206</v>
      </c>
      <c r="D28" s="14" t="s">
        <v>207</v>
      </c>
      <c r="E28" s="14" t="s">
        <v>13</v>
      </c>
      <c r="F28" s="14" t="s">
        <v>61</v>
      </c>
      <c r="G28" s="14" t="s">
        <v>177</v>
      </c>
      <c r="H28" s="14" t="s">
        <v>70</v>
      </c>
      <c r="I28" s="14" t="s">
        <v>183</v>
      </c>
      <c r="J28" s="14" t="s">
        <v>116</v>
      </c>
      <c r="K28" s="14" t="s">
        <v>208</v>
      </c>
      <c r="L28" s="53" t="s">
        <v>138</v>
      </c>
      <c r="M28" s="14" t="s">
        <v>140</v>
      </c>
      <c r="N28" s="15" t="s">
        <v>7</v>
      </c>
      <c r="O28" s="14" t="s">
        <v>209</v>
      </c>
      <c r="P28" s="14" t="s">
        <v>133</v>
      </c>
      <c r="Q28" s="14" t="s">
        <v>26</v>
      </c>
      <c r="R28" s="14" t="s">
        <v>191</v>
      </c>
      <c r="S28" s="14" t="s">
        <v>116</v>
      </c>
      <c r="T28" s="14">
        <v>514</v>
      </c>
      <c r="U28" s="14" t="s">
        <v>103</v>
      </c>
      <c r="V28" s="16" t="s">
        <v>210</v>
      </c>
      <c r="W28" s="24" t="s">
        <v>211</v>
      </c>
      <c r="X28" s="14" t="s">
        <v>212</v>
      </c>
    </row>
    <row r="29" spans="1:24" ht="47.25" x14ac:dyDescent="0.45">
      <c r="A29" s="13">
        <v>28</v>
      </c>
      <c r="B29" s="14" t="s">
        <v>205</v>
      </c>
      <c r="C29" s="14" t="s">
        <v>206</v>
      </c>
      <c r="D29" s="14" t="s">
        <v>207</v>
      </c>
      <c r="E29" s="14" t="s">
        <v>13</v>
      </c>
      <c r="F29" s="14" t="s">
        <v>63</v>
      </c>
      <c r="G29" s="14" t="s">
        <v>142</v>
      </c>
      <c r="H29" s="14" t="s">
        <v>26</v>
      </c>
      <c r="I29" s="14" t="s">
        <v>145</v>
      </c>
      <c r="J29" s="14" t="s">
        <v>116</v>
      </c>
      <c r="K29" s="14" t="s">
        <v>208</v>
      </c>
      <c r="L29" s="53" t="s">
        <v>138</v>
      </c>
      <c r="M29" s="14" t="s">
        <v>140</v>
      </c>
      <c r="N29" s="15" t="s">
        <v>7</v>
      </c>
      <c r="O29" s="14" t="s">
        <v>209</v>
      </c>
      <c r="P29" s="14" t="s">
        <v>133</v>
      </c>
      <c r="Q29" s="14" t="s">
        <v>26</v>
      </c>
      <c r="R29" s="14" t="s">
        <v>191</v>
      </c>
      <c r="S29" s="14" t="s">
        <v>116</v>
      </c>
      <c r="T29" s="14">
        <v>514</v>
      </c>
      <c r="U29" s="14" t="s">
        <v>103</v>
      </c>
      <c r="V29" s="16" t="s">
        <v>210</v>
      </c>
      <c r="W29" s="24" t="s">
        <v>211</v>
      </c>
      <c r="X29" s="14" t="s">
        <v>212</v>
      </c>
    </row>
    <row r="30" spans="1:24" ht="47.25" x14ac:dyDescent="0.45">
      <c r="A30" s="13">
        <v>29</v>
      </c>
      <c r="B30" s="14" t="s">
        <v>205</v>
      </c>
      <c r="C30" s="14" t="s">
        <v>206</v>
      </c>
      <c r="D30" s="14" t="s">
        <v>207</v>
      </c>
      <c r="E30" s="14" t="s">
        <v>13</v>
      </c>
      <c r="F30" s="14" t="s">
        <v>213</v>
      </c>
      <c r="G30" s="14" t="s">
        <v>134</v>
      </c>
      <c r="H30" s="14" t="s">
        <v>26</v>
      </c>
      <c r="I30" s="14" t="s">
        <v>185</v>
      </c>
      <c r="J30" s="14" t="s">
        <v>116</v>
      </c>
      <c r="K30" s="14" t="s">
        <v>208</v>
      </c>
      <c r="L30" s="53" t="s">
        <v>138</v>
      </c>
      <c r="M30" s="14" t="s">
        <v>140</v>
      </c>
      <c r="N30" s="15" t="s">
        <v>7</v>
      </c>
      <c r="O30" s="14" t="s">
        <v>209</v>
      </c>
      <c r="P30" s="14" t="s">
        <v>133</v>
      </c>
      <c r="Q30" s="14" t="s">
        <v>26</v>
      </c>
      <c r="R30" s="14" t="s">
        <v>191</v>
      </c>
      <c r="S30" s="14" t="s">
        <v>116</v>
      </c>
      <c r="T30" s="14">
        <v>514</v>
      </c>
      <c r="U30" s="14" t="s">
        <v>103</v>
      </c>
      <c r="V30" s="16" t="s">
        <v>210</v>
      </c>
      <c r="W30" s="24" t="s">
        <v>211</v>
      </c>
      <c r="X30" s="14" t="s">
        <v>212</v>
      </c>
    </row>
    <row r="31" spans="1:24" ht="47.25" x14ac:dyDescent="0.45">
      <c r="A31" s="13">
        <v>30</v>
      </c>
      <c r="B31" s="14" t="s">
        <v>205</v>
      </c>
      <c r="C31" s="14" t="s">
        <v>206</v>
      </c>
      <c r="D31" s="14" t="s">
        <v>207</v>
      </c>
      <c r="E31" s="14" t="s">
        <v>13</v>
      </c>
      <c r="F31" s="14" t="s">
        <v>64</v>
      </c>
      <c r="G31" s="14" t="s">
        <v>135</v>
      </c>
      <c r="H31" s="14" t="s">
        <v>26</v>
      </c>
      <c r="I31" s="14" t="s">
        <v>187</v>
      </c>
      <c r="J31" s="14" t="s">
        <v>116</v>
      </c>
      <c r="K31" s="14" t="s">
        <v>208</v>
      </c>
      <c r="L31" s="53" t="s">
        <v>138</v>
      </c>
      <c r="M31" s="14" t="s">
        <v>140</v>
      </c>
      <c r="N31" s="15" t="s">
        <v>7</v>
      </c>
      <c r="O31" s="14" t="s">
        <v>209</v>
      </c>
      <c r="P31" s="14" t="s">
        <v>133</v>
      </c>
      <c r="Q31" s="14" t="s">
        <v>26</v>
      </c>
      <c r="R31" s="14" t="s">
        <v>191</v>
      </c>
      <c r="S31" s="14" t="s">
        <v>116</v>
      </c>
      <c r="T31" s="14">
        <v>514</v>
      </c>
      <c r="U31" s="14" t="s">
        <v>103</v>
      </c>
      <c r="V31" s="16" t="s">
        <v>210</v>
      </c>
      <c r="W31" s="24" t="s">
        <v>211</v>
      </c>
      <c r="X31" s="14" t="s">
        <v>212</v>
      </c>
    </row>
    <row r="32" spans="1:24" ht="47.25" x14ac:dyDescent="0.45">
      <c r="A32" s="13">
        <v>31</v>
      </c>
      <c r="B32" s="14" t="s">
        <v>205</v>
      </c>
      <c r="C32" s="14" t="s">
        <v>206</v>
      </c>
      <c r="D32" s="14" t="s">
        <v>207</v>
      </c>
      <c r="E32" s="14" t="s">
        <v>13</v>
      </c>
      <c r="F32" s="14" t="s">
        <v>67</v>
      </c>
      <c r="G32" s="14" t="s">
        <v>136</v>
      </c>
      <c r="H32" s="14" t="s">
        <v>26</v>
      </c>
      <c r="I32" s="14" t="s">
        <v>189</v>
      </c>
      <c r="J32" s="14" t="s">
        <v>116</v>
      </c>
      <c r="K32" s="14" t="s">
        <v>208</v>
      </c>
      <c r="L32" s="53" t="s">
        <v>138</v>
      </c>
      <c r="M32" s="14" t="s">
        <v>140</v>
      </c>
      <c r="N32" s="15" t="s">
        <v>7</v>
      </c>
      <c r="O32" s="14" t="s">
        <v>209</v>
      </c>
      <c r="P32" s="14" t="s">
        <v>133</v>
      </c>
      <c r="Q32" s="14" t="s">
        <v>26</v>
      </c>
      <c r="R32" s="14" t="s">
        <v>191</v>
      </c>
      <c r="S32" s="14" t="s">
        <v>116</v>
      </c>
      <c r="T32" s="14">
        <v>514</v>
      </c>
      <c r="U32" s="14" t="s">
        <v>103</v>
      </c>
      <c r="V32" s="16" t="s">
        <v>210</v>
      </c>
      <c r="W32" s="24" t="s">
        <v>211</v>
      </c>
      <c r="X32" s="14" t="s">
        <v>212</v>
      </c>
    </row>
    <row r="33" spans="1:24" ht="47.25" x14ac:dyDescent="0.45">
      <c r="A33" s="13">
        <v>32</v>
      </c>
      <c r="B33" s="14" t="s">
        <v>205</v>
      </c>
      <c r="C33" s="14" t="s">
        <v>206</v>
      </c>
      <c r="D33" s="14" t="s">
        <v>207</v>
      </c>
      <c r="E33" s="14" t="s">
        <v>13</v>
      </c>
      <c r="F33" s="14" t="s">
        <v>28</v>
      </c>
      <c r="G33" s="14" t="s">
        <v>178</v>
      </c>
      <c r="H33" s="14" t="s">
        <v>26</v>
      </c>
      <c r="I33" s="14" t="s">
        <v>193</v>
      </c>
      <c r="J33" s="14" t="s">
        <v>116</v>
      </c>
      <c r="K33" s="14" t="s">
        <v>208</v>
      </c>
      <c r="L33" s="53" t="s">
        <v>138</v>
      </c>
      <c r="M33" s="14" t="s">
        <v>202</v>
      </c>
      <c r="N33" s="15" t="s">
        <v>7</v>
      </c>
      <c r="O33" s="14" t="s">
        <v>209</v>
      </c>
      <c r="P33" s="14" t="s">
        <v>133</v>
      </c>
      <c r="Q33" s="14" t="s">
        <v>26</v>
      </c>
      <c r="R33" s="14" t="s">
        <v>191</v>
      </c>
      <c r="S33" s="14" t="s">
        <v>116</v>
      </c>
      <c r="T33" s="14">
        <v>514</v>
      </c>
      <c r="U33" s="14" t="s">
        <v>103</v>
      </c>
      <c r="V33" s="16" t="s">
        <v>210</v>
      </c>
      <c r="W33" s="24" t="s">
        <v>211</v>
      </c>
      <c r="X33" s="14" t="s">
        <v>212</v>
      </c>
    </row>
    <row r="34" spans="1:24" ht="47.25" x14ac:dyDescent="0.45">
      <c r="A34" s="13">
        <v>33</v>
      </c>
      <c r="B34" s="14" t="s">
        <v>205</v>
      </c>
      <c r="C34" s="14" t="s">
        <v>206</v>
      </c>
      <c r="D34" s="14" t="s">
        <v>207</v>
      </c>
      <c r="E34" s="14" t="s">
        <v>13</v>
      </c>
      <c r="F34" s="14" t="s">
        <v>107</v>
      </c>
      <c r="G34" s="14" t="s">
        <v>179</v>
      </c>
      <c r="H34" s="14" t="s">
        <v>26</v>
      </c>
      <c r="I34" s="14" t="s">
        <v>195</v>
      </c>
      <c r="J34" s="14" t="s">
        <v>116</v>
      </c>
      <c r="K34" s="14" t="s">
        <v>208</v>
      </c>
      <c r="L34" s="53" t="s">
        <v>138</v>
      </c>
      <c r="M34" s="14" t="s">
        <v>202</v>
      </c>
      <c r="N34" s="15" t="s">
        <v>7</v>
      </c>
      <c r="O34" s="14" t="s">
        <v>209</v>
      </c>
      <c r="P34" s="14" t="s">
        <v>133</v>
      </c>
      <c r="Q34" s="14" t="s">
        <v>26</v>
      </c>
      <c r="R34" s="14" t="s">
        <v>191</v>
      </c>
      <c r="S34" s="14" t="s">
        <v>116</v>
      </c>
      <c r="T34" s="14">
        <v>514</v>
      </c>
      <c r="U34" s="14" t="s">
        <v>103</v>
      </c>
      <c r="V34" s="16" t="s">
        <v>210</v>
      </c>
      <c r="W34" s="24" t="s">
        <v>211</v>
      </c>
      <c r="X34" s="14" t="s">
        <v>212</v>
      </c>
    </row>
    <row r="35" spans="1:24" ht="47.25" x14ac:dyDescent="0.45">
      <c r="A35" s="13">
        <v>34</v>
      </c>
      <c r="B35" s="14" t="s">
        <v>205</v>
      </c>
      <c r="C35" s="14" t="s">
        <v>206</v>
      </c>
      <c r="D35" s="14" t="s">
        <v>207</v>
      </c>
      <c r="E35" s="14" t="s">
        <v>13</v>
      </c>
      <c r="F35" s="14" t="s">
        <v>109</v>
      </c>
      <c r="G35" s="14" t="s">
        <v>180</v>
      </c>
      <c r="H35" s="14" t="s">
        <v>26</v>
      </c>
      <c r="I35" s="14" t="s">
        <v>197</v>
      </c>
      <c r="J35" s="14" t="s">
        <v>116</v>
      </c>
      <c r="K35" s="14" t="s">
        <v>208</v>
      </c>
      <c r="L35" s="53" t="s">
        <v>138</v>
      </c>
      <c r="M35" s="14" t="s">
        <v>202</v>
      </c>
      <c r="N35" s="15" t="s">
        <v>7</v>
      </c>
      <c r="O35" s="14" t="s">
        <v>209</v>
      </c>
      <c r="P35" s="14" t="s">
        <v>133</v>
      </c>
      <c r="Q35" s="14" t="s">
        <v>26</v>
      </c>
      <c r="R35" s="14" t="s">
        <v>191</v>
      </c>
      <c r="S35" s="14" t="s">
        <v>116</v>
      </c>
      <c r="T35" s="14">
        <v>514</v>
      </c>
      <c r="U35" s="14" t="s">
        <v>103</v>
      </c>
      <c r="V35" s="16" t="s">
        <v>210</v>
      </c>
      <c r="W35" s="24" t="s">
        <v>211</v>
      </c>
      <c r="X35" s="14" t="s">
        <v>212</v>
      </c>
    </row>
    <row r="36" spans="1:24" ht="47.25" x14ac:dyDescent="0.45">
      <c r="A36" s="13">
        <v>35</v>
      </c>
      <c r="B36" s="14" t="s">
        <v>205</v>
      </c>
      <c r="C36" s="14" t="s">
        <v>206</v>
      </c>
      <c r="D36" s="14" t="s">
        <v>207</v>
      </c>
      <c r="E36" s="14" t="s">
        <v>13</v>
      </c>
      <c r="F36" s="14" t="s">
        <v>24</v>
      </c>
      <c r="G36" s="14" t="s">
        <v>217</v>
      </c>
      <c r="H36" s="14" t="s">
        <v>26</v>
      </c>
      <c r="I36" s="14" t="s">
        <v>199</v>
      </c>
      <c r="J36" s="14" t="s">
        <v>116</v>
      </c>
      <c r="K36" s="14" t="s">
        <v>208</v>
      </c>
      <c r="L36" s="53" t="s">
        <v>138</v>
      </c>
      <c r="M36" s="14" t="s">
        <v>202</v>
      </c>
      <c r="N36" s="15" t="s">
        <v>7</v>
      </c>
      <c r="O36" s="14" t="s">
        <v>209</v>
      </c>
      <c r="P36" s="14" t="s">
        <v>133</v>
      </c>
      <c r="Q36" s="14" t="s">
        <v>26</v>
      </c>
      <c r="R36" s="14" t="s">
        <v>191</v>
      </c>
      <c r="S36" s="14" t="s">
        <v>116</v>
      </c>
      <c r="T36" s="14">
        <v>514</v>
      </c>
      <c r="U36" s="14" t="s">
        <v>103</v>
      </c>
      <c r="V36" s="16" t="s">
        <v>210</v>
      </c>
      <c r="W36" s="24" t="s">
        <v>211</v>
      </c>
      <c r="X36" s="14" t="s">
        <v>212</v>
      </c>
    </row>
    <row r="37" spans="1:24" ht="47.25" x14ac:dyDescent="0.45">
      <c r="A37" s="5">
        <v>36</v>
      </c>
      <c r="B37" s="6" t="s">
        <v>218</v>
      </c>
      <c r="C37" s="6" t="s">
        <v>219</v>
      </c>
      <c r="D37" s="6" t="s">
        <v>220</v>
      </c>
      <c r="E37" s="6" t="s">
        <v>13</v>
      </c>
      <c r="F37" s="6" t="s">
        <v>61</v>
      </c>
      <c r="G37" s="6" t="s">
        <v>177</v>
      </c>
      <c r="H37" s="6" t="s">
        <v>70</v>
      </c>
      <c r="I37" s="6" t="s">
        <v>182</v>
      </c>
      <c r="J37" s="6" t="s">
        <v>221</v>
      </c>
      <c r="K37" s="6" t="s">
        <v>169</v>
      </c>
      <c r="L37" s="39" t="s">
        <v>138</v>
      </c>
      <c r="M37" s="6" t="s">
        <v>201</v>
      </c>
      <c r="N37" s="7" t="s">
        <v>7</v>
      </c>
      <c r="O37" s="6" t="s">
        <v>65</v>
      </c>
      <c r="P37" s="6" t="s">
        <v>131</v>
      </c>
      <c r="Q37" s="6" t="s">
        <v>26</v>
      </c>
      <c r="R37" s="6" t="s">
        <v>187</v>
      </c>
      <c r="S37" s="6" t="s">
        <v>221</v>
      </c>
      <c r="T37" s="6">
        <v>53</v>
      </c>
      <c r="U37" s="6" t="s">
        <v>103</v>
      </c>
      <c r="V37" s="52" t="s">
        <v>222</v>
      </c>
      <c r="W37" s="11" t="s">
        <v>223</v>
      </c>
      <c r="X37" s="10" t="s">
        <v>224</v>
      </c>
    </row>
    <row r="38" spans="1:24" ht="47.25" x14ac:dyDescent="0.45">
      <c r="A38" s="5">
        <v>37</v>
      </c>
      <c r="B38" s="6" t="s">
        <v>218</v>
      </c>
      <c r="C38" s="6" t="s">
        <v>219</v>
      </c>
      <c r="D38" s="6" t="s">
        <v>220</v>
      </c>
      <c r="E38" s="6" t="s">
        <v>13</v>
      </c>
      <c r="F38" s="6" t="s">
        <v>146</v>
      </c>
      <c r="G38" s="6" t="s">
        <v>134</v>
      </c>
      <c r="H38" s="6" t="s">
        <v>26</v>
      </c>
      <c r="I38" s="6" t="s">
        <v>144</v>
      </c>
      <c r="J38" s="6" t="s">
        <v>221</v>
      </c>
      <c r="K38" s="6" t="s">
        <v>169</v>
      </c>
      <c r="L38" s="39" t="s">
        <v>138</v>
      </c>
      <c r="M38" s="6" t="s">
        <v>140</v>
      </c>
      <c r="N38" s="7" t="s">
        <v>7</v>
      </c>
      <c r="O38" s="6" t="s">
        <v>65</v>
      </c>
      <c r="P38" s="6" t="s">
        <v>131</v>
      </c>
      <c r="Q38" s="6" t="s">
        <v>26</v>
      </c>
      <c r="R38" s="6" t="s">
        <v>187</v>
      </c>
      <c r="S38" s="6" t="s">
        <v>221</v>
      </c>
      <c r="T38" s="6">
        <v>53</v>
      </c>
      <c r="U38" s="6" t="s">
        <v>103</v>
      </c>
      <c r="V38" s="52" t="s">
        <v>222</v>
      </c>
      <c r="W38" s="11" t="s">
        <v>223</v>
      </c>
      <c r="X38" s="10" t="s">
        <v>224</v>
      </c>
    </row>
    <row r="39" spans="1:24" ht="47.25" x14ac:dyDescent="0.45">
      <c r="A39" s="5">
        <v>38</v>
      </c>
      <c r="B39" s="6" t="s">
        <v>218</v>
      </c>
      <c r="C39" s="6" t="s">
        <v>219</v>
      </c>
      <c r="D39" s="6" t="s">
        <v>220</v>
      </c>
      <c r="E39" s="6" t="s">
        <v>13</v>
      </c>
      <c r="F39" s="6" t="s">
        <v>27</v>
      </c>
      <c r="G39" s="6" t="s">
        <v>142</v>
      </c>
      <c r="H39" s="6" t="s">
        <v>26</v>
      </c>
      <c r="I39" s="6" t="s">
        <v>184</v>
      </c>
      <c r="J39" s="6" t="s">
        <v>221</v>
      </c>
      <c r="K39" s="6" t="s">
        <v>169</v>
      </c>
      <c r="L39" s="39" t="s">
        <v>138</v>
      </c>
      <c r="M39" s="6" t="s">
        <v>140</v>
      </c>
      <c r="N39" s="7" t="s">
        <v>7</v>
      </c>
      <c r="O39" s="6" t="s">
        <v>65</v>
      </c>
      <c r="P39" s="6" t="s">
        <v>131</v>
      </c>
      <c r="Q39" s="6" t="s">
        <v>26</v>
      </c>
      <c r="R39" s="6" t="s">
        <v>187</v>
      </c>
      <c r="S39" s="6" t="s">
        <v>221</v>
      </c>
      <c r="T39" s="6">
        <v>53</v>
      </c>
      <c r="U39" s="6" t="s">
        <v>103</v>
      </c>
      <c r="V39" s="52" t="s">
        <v>222</v>
      </c>
      <c r="W39" s="11" t="s">
        <v>223</v>
      </c>
      <c r="X39" s="10" t="s">
        <v>224</v>
      </c>
    </row>
    <row r="40" spans="1:24" ht="47.25" x14ac:dyDescent="0.45">
      <c r="A40" s="5">
        <v>39</v>
      </c>
      <c r="B40" s="6" t="s">
        <v>218</v>
      </c>
      <c r="C40" s="6" t="s">
        <v>219</v>
      </c>
      <c r="D40" s="6" t="s">
        <v>220</v>
      </c>
      <c r="E40" s="6" t="s">
        <v>13</v>
      </c>
      <c r="F40" s="6" t="s">
        <v>64</v>
      </c>
      <c r="G40" s="6" t="s">
        <v>131</v>
      </c>
      <c r="H40" s="6" t="s">
        <v>26</v>
      </c>
      <c r="I40" s="6" t="s">
        <v>187</v>
      </c>
      <c r="J40" s="6" t="s">
        <v>221</v>
      </c>
      <c r="K40" s="6" t="s">
        <v>169</v>
      </c>
      <c r="L40" s="39" t="s">
        <v>138</v>
      </c>
      <c r="M40" s="6" t="s">
        <v>140</v>
      </c>
      <c r="N40" s="7" t="s">
        <v>7</v>
      </c>
      <c r="O40" s="6" t="s">
        <v>65</v>
      </c>
      <c r="P40" s="6" t="s">
        <v>131</v>
      </c>
      <c r="Q40" s="6" t="s">
        <v>26</v>
      </c>
      <c r="R40" s="6" t="s">
        <v>187</v>
      </c>
      <c r="S40" s="6" t="s">
        <v>221</v>
      </c>
      <c r="T40" s="6">
        <v>53</v>
      </c>
      <c r="U40" s="6" t="s">
        <v>103</v>
      </c>
      <c r="V40" s="52" t="s">
        <v>222</v>
      </c>
      <c r="W40" s="11" t="s">
        <v>223</v>
      </c>
      <c r="X40" s="10" t="s">
        <v>224</v>
      </c>
    </row>
    <row r="41" spans="1:24" ht="47.25" x14ac:dyDescent="0.45">
      <c r="A41" s="5">
        <v>40</v>
      </c>
      <c r="B41" s="6" t="s">
        <v>218</v>
      </c>
      <c r="C41" s="6" t="s">
        <v>219</v>
      </c>
      <c r="D41" s="6" t="s">
        <v>220</v>
      </c>
      <c r="E41" s="6" t="s">
        <v>13</v>
      </c>
      <c r="F41" s="6" t="s">
        <v>67</v>
      </c>
      <c r="G41" s="6" t="s">
        <v>132</v>
      </c>
      <c r="H41" s="6" t="s">
        <v>26</v>
      </c>
      <c r="I41" s="6" t="s">
        <v>189</v>
      </c>
      <c r="J41" s="6" t="s">
        <v>221</v>
      </c>
      <c r="K41" s="6" t="s">
        <v>169</v>
      </c>
      <c r="L41" s="39" t="s">
        <v>138</v>
      </c>
      <c r="M41" s="6" t="s">
        <v>201</v>
      </c>
      <c r="N41" s="7" t="s">
        <v>7</v>
      </c>
      <c r="O41" s="6" t="s">
        <v>65</v>
      </c>
      <c r="P41" s="6" t="s">
        <v>131</v>
      </c>
      <c r="Q41" s="6" t="s">
        <v>26</v>
      </c>
      <c r="R41" s="6" t="s">
        <v>187</v>
      </c>
      <c r="S41" s="6" t="s">
        <v>221</v>
      </c>
      <c r="T41" s="6">
        <v>53</v>
      </c>
      <c r="U41" s="6" t="s">
        <v>103</v>
      </c>
      <c r="V41" s="52" t="s">
        <v>222</v>
      </c>
      <c r="W41" s="11" t="s">
        <v>223</v>
      </c>
      <c r="X41" s="10" t="s">
        <v>224</v>
      </c>
    </row>
    <row r="42" spans="1:24" ht="47.25" x14ac:dyDescent="0.45">
      <c r="A42" s="5">
        <v>41</v>
      </c>
      <c r="B42" s="6" t="s">
        <v>218</v>
      </c>
      <c r="C42" s="6" t="s">
        <v>219</v>
      </c>
      <c r="D42" s="6" t="s">
        <v>220</v>
      </c>
      <c r="E42" s="6" t="s">
        <v>13</v>
      </c>
      <c r="F42" s="6" t="s">
        <v>68</v>
      </c>
      <c r="G42" s="6" t="s">
        <v>137</v>
      </c>
      <c r="H42" s="6" t="s">
        <v>26</v>
      </c>
      <c r="I42" s="6" t="s">
        <v>190</v>
      </c>
      <c r="J42" s="6" t="s">
        <v>221</v>
      </c>
      <c r="K42" s="6" t="s">
        <v>169</v>
      </c>
      <c r="L42" s="39" t="s">
        <v>138</v>
      </c>
      <c r="M42" s="6" t="s">
        <v>140</v>
      </c>
      <c r="N42" s="7" t="s">
        <v>7</v>
      </c>
      <c r="O42" s="6" t="s">
        <v>65</v>
      </c>
      <c r="P42" s="6" t="s">
        <v>131</v>
      </c>
      <c r="Q42" s="6" t="s">
        <v>26</v>
      </c>
      <c r="R42" s="6" t="s">
        <v>187</v>
      </c>
      <c r="S42" s="6" t="s">
        <v>221</v>
      </c>
      <c r="T42" s="6">
        <v>53</v>
      </c>
      <c r="U42" s="6" t="s">
        <v>103</v>
      </c>
      <c r="V42" s="52" t="s">
        <v>222</v>
      </c>
      <c r="W42" s="11" t="s">
        <v>223</v>
      </c>
      <c r="X42" s="10" t="s">
        <v>224</v>
      </c>
    </row>
    <row r="43" spans="1:24" ht="47.25" x14ac:dyDescent="0.45">
      <c r="A43" s="5">
        <v>42</v>
      </c>
      <c r="B43" s="6" t="s">
        <v>218</v>
      </c>
      <c r="C43" s="6" t="s">
        <v>219</v>
      </c>
      <c r="D43" s="6" t="s">
        <v>220</v>
      </c>
      <c r="E43" s="6" t="s">
        <v>13</v>
      </c>
      <c r="F43" s="6" t="s">
        <v>60</v>
      </c>
      <c r="G43" s="6" t="s">
        <v>178</v>
      </c>
      <c r="H43" s="6" t="s">
        <v>26</v>
      </c>
      <c r="I43" s="6" t="s">
        <v>192</v>
      </c>
      <c r="J43" s="6" t="s">
        <v>221</v>
      </c>
      <c r="K43" s="6" t="s">
        <v>169</v>
      </c>
      <c r="L43" s="39" t="s">
        <v>138</v>
      </c>
      <c r="M43" s="6" t="s">
        <v>203</v>
      </c>
      <c r="N43" s="7" t="s">
        <v>7</v>
      </c>
      <c r="O43" s="6" t="s">
        <v>65</v>
      </c>
      <c r="P43" s="6" t="s">
        <v>131</v>
      </c>
      <c r="Q43" s="6" t="s">
        <v>26</v>
      </c>
      <c r="R43" s="6" t="s">
        <v>187</v>
      </c>
      <c r="S43" s="6" t="s">
        <v>221</v>
      </c>
      <c r="T43" s="6">
        <v>53</v>
      </c>
      <c r="U43" s="6" t="s">
        <v>103</v>
      </c>
      <c r="V43" s="52" t="s">
        <v>222</v>
      </c>
      <c r="W43" s="11" t="s">
        <v>223</v>
      </c>
      <c r="X43" s="10" t="s">
        <v>224</v>
      </c>
    </row>
    <row r="44" spans="1:24" ht="47.25" x14ac:dyDescent="0.45">
      <c r="A44" s="5">
        <v>43</v>
      </c>
      <c r="B44" s="6" t="s">
        <v>218</v>
      </c>
      <c r="C44" s="6" t="s">
        <v>219</v>
      </c>
      <c r="D44" s="6" t="s">
        <v>220</v>
      </c>
      <c r="E44" s="6" t="s">
        <v>13</v>
      </c>
      <c r="F44" s="6" t="s">
        <v>22</v>
      </c>
      <c r="G44" s="6" t="s">
        <v>179</v>
      </c>
      <c r="H44" s="6" t="s">
        <v>26</v>
      </c>
      <c r="I44" s="6" t="s">
        <v>194</v>
      </c>
      <c r="J44" s="6" t="s">
        <v>221</v>
      </c>
      <c r="K44" s="6" t="s">
        <v>169</v>
      </c>
      <c r="L44" s="39" t="s">
        <v>138</v>
      </c>
      <c r="M44" s="6" t="s">
        <v>202</v>
      </c>
      <c r="N44" s="7" t="s">
        <v>7</v>
      </c>
      <c r="O44" s="6" t="s">
        <v>65</v>
      </c>
      <c r="P44" s="6" t="s">
        <v>131</v>
      </c>
      <c r="Q44" s="6" t="s">
        <v>26</v>
      </c>
      <c r="R44" s="6" t="s">
        <v>187</v>
      </c>
      <c r="S44" s="6" t="s">
        <v>221</v>
      </c>
      <c r="T44" s="6">
        <v>53</v>
      </c>
      <c r="U44" s="6" t="s">
        <v>103</v>
      </c>
      <c r="V44" s="52" t="s">
        <v>222</v>
      </c>
      <c r="W44" s="11" t="s">
        <v>223</v>
      </c>
      <c r="X44" s="10" t="s">
        <v>224</v>
      </c>
    </row>
    <row r="45" spans="1:24" ht="47.25" x14ac:dyDescent="0.45">
      <c r="A45" s="5">
        <v>44</v>
      </c>
      <c r="B45" s="6" t="s">
        <v>218</v>
      </c>
      <c r="C45" s="6" t="s">
        <v>219</v>
      </c>
      <c r="D45" s="6" t="s">
        <v>220</v>
      </c>
      <c r="E45" s="6" t="s">
        <v>13</v>
      </c>
      <c r="F45" s="6" t="s">
        <v>23</v>
      </c>
      <c r="G45" s="6" t="s">
        <v>180</v>
      </c>
      <c r="H45" s="6" t="s">
        <v>26</v>
      </c>
      <c r="I45" s="6" t="s">
        <v>196</v>
      </c>
      <c r="J45" s="6" t="s">
        <v>221</v>
      </c>
      <c r="K45" s="6" t="s">
        <v>169</v>
      </c>
      <c r="L45" s="39" t="s">
        <v>138</v>
      </c>
      <c r="M45" s="6" t="s">
        <v>202</v>
      </c>
      <c r="N45" s="7" t="s">
        <v>7</v>
      </c>
      <c r="O45" s="6" t="s">
        <v>65</v>
      </c>
      <c r="P45" s="6" t="s">
        <v>131</v>
      </c>
      <c r="Q45" s="6" t="s">
        <v>26</v>
      </c>
      <c r="R45" s="6" t="s">
        <v>187</v>
      </c>
      <c r="S45" s="6" t="s">
        <v>221</v>
      </c>
      <c r="T45" s="6">
        <v>53</v>
      </c>
      <c r="U45" s="6" t="s">
        <v>103</v>
      </c>
      <c r="V45" s="52" t="s">
        <v>222</v>
      </c>
      <c r="W45" s="11" t="s">
        <v>223</v>
      </c>
      <c r="X45" s="10" t="s">
        <v>224</v>
      </c>
    </row>
    <row r="46" spans="1:24" ht="47.25" x14ac:dyDescent="0.45">
      <c r="A46" s="5">
        <v>45</v>
      </c>
      <c r="B46" s="6" t="s">
        <v>218</v>
      </c>
      <c r="C46" s="6" t="s">
        <v>219</v>
      </c>
      <c r="D46" s="6" t="s">
        <v>220</v>
      </c>
      <c r="E46" s="6" t="s">
        <v>13</v>
      </c>
      <c r="F46" s="6" t="s">
        <v>24</v>
      </c>
      <c r="G46" s="6" t="s">
        <v>181</v>
      </c>
      <c r="H46" s="6" t="s">
        <v>26</v>
      </c>
      <c r="I46" s="6" t="s">
        <v>198</v>
      </c>
      <c r="J46" s="6" t="s">
        <v>221</v>
      </c>
      <c r="K46" s="6" t="s">
        <v>169</v>
      </c>
      <c r="L46" s="39" t="s">
        <v>200</v>
      </c>
      <c r="M46" s="6" t="s">
        <v>203</v>
      </c>
      <c r="N46" s="7" t="s">
        <v>7</v>
      </c>
      <c r="O46" s="6" t="s">
        <v>65</v>
      </c>
      <c r="P46" s="6" t="s">
        <v>131</v>
      </c>
      <c r="Q46" s="6" t="s">
        <v>26</v>
      </c>
      <c r="R46" s="6" t="s">
        <v>187</v>
      </c>
      <c r="S46" s="6" t="s">
        <v>221</v>
      </c>
      <c r="T46" s="6">
        <v>53</v>
      </c>
      <c r="U46" s="6" t="s">
        <v>103</v>
      </c>
      <c r="V46" s="52" t="s">
        <v>222</v>
      </c>
      <c r="W46" s="11" t="s">
        <v>223</v>
      </c>
      <c r="X46" s="10" t="s">
        <v>224</v>
      </c>
    </row>
    <row r="47" spans="1:24" ht="63" x14ac:dyDescent="0.45">
      <c r="A47" s="54">
        <v>46</v>
      </c>
      <c r="B47" s="55" t="s">
        <v>218</v>
      </c>
      <c r="C47" s="55" t="s">
        <v>225</v>
      </c>
      <c r="D47" s="55" t="s">
        <v>226</v>
      </c>
      <c r="E47" s="55" t="s">
        <v>176</v>
      </c>
      <c r="F47" s="55" t="s">
        <v>64</v>
      </c>
      <c r="G47" s="55" t="s">
        <v>135</v>
      </c>
      <c r="H47" s="55" t="s">
        <v>26</v>
      </c>
      <c r="I47" s="55" t="s">
        <v>186</v>
      </c>
      <c r="J47" s="55" t="s">
        <v>221</v>
      </c>
      <c r="K47" s="55">
        <v>53</v>
      </c>
      <c r="L47" s="59" t="s">
        <v>200</v>
      </c>
      <c r="M47" s="55" t="s">
        <v>201</v>
      </c>
      <c r="N47" s="38" t="s">
        <v>7</v>
      </c>
      <c r="O47" s="55" t="s">
        <v>61</v>
      </c>
      <c r="P47" s="55" t="s">
        <v>177</v>
      </c>
      <c r="Q47" s="55" t="s">
        <v>70</v>
      </c>
      <c r="R47" s="55" t="s">
        <v>182</v>
      </c>
      <c r="S47" s="55" t="s">
        <v>221</v>
      </c>
      <c r="T47" s="55" t="s">
        <v>169</v>
      </c>
      <c r="U47" s="55" t="s">
        <v>103</v>
      </c>
      <c r="V47" s="56" t="s">
        <v>227</v>
      </c>
      <c r="W47" s="57" t="s">
        <v>223</v>
      </c>
      <c r="X47" s="58" t="s">
        <v>224</v>
      </c>
    </row>
    <row r="48" spans="1:24" ht="63" x14ac:dyDescent="0.45">
      <c r="A48" s="54">
        <v>47</v>
      </c>
      <c r="B48" s="55" t="s">
        <v>218</v>
      </c>
      <c r="C48" s="55" t="s">
        <v>225</v>
      </c>
      <c r="D48" s="55" t="s">
        <v>226</v>
      </c>
      <c r="E48" s="55" t="s">
        <v>176</v>
      </c>
      <c r="F48" s="55" t="s">
        <v>64</v>
      </c>
      <c r="G48" s="55" t="s">
        <v>135</v>
      </c>
      <c r="H48" s="55" t="s">
        <v>26</v>
      </c>
      <c r="I48" s="55" t="s">
        <v>186</v>
      </c>
      <c r="J48" s="55" t="s">
        <v>221</v>
      </c>
      <c r="K48" s="55">
        <v>53</v>
      </c>
      <c r="L48" s="59" t="s">
        <v>200</v>
      </c>
      <c r="M48" s="55" t="s">
        <v>201</v>
      </c>
      <c r="N48" s="38" t="s">
        <v>7</v>
      </c>
      <c r="O48" s="55" t="s">
        <v>146</v>
      </c>
      <c r="P48" s="55" t="s">
        <v>134</v>
      </c>
      <c r="Q48" s="55" t="s">
        <v>26</v>
      </c>
      <c r="R48" s="55" t="s">
        <v>144</v>
      </c>
      <c r="S48" s="55" t="s">
        <v>221</v>
      </c>
      <c r="T48" s="55" t="s">
        <v>169</v>
      </c>
      <c r="U48" s="55" t="s">
        <v>103</v>
      </c>
      <c r="V48" s="56" t="s">
        <v>227</v>
      </c>
      <c r="W48" s="57" t="s">
        <v>223</v>
      </c>
      <c r="X48" s="58" t="s">
        <v>224</v>
      </c>
    </row>
    <row r="49" spans="1:24" ht="63" x14ac:dyDescent="0.45">
      <c r="A49" s="54">
        <v>48</v>
      </c>
      <c r="B49" s="55" t="s">
        <v>218</v>
      </c>
      <c r="C49" s="55" t="s">
        <v>225</v>
      </c>
      <c r="D49" s="55" t="s">
        <v>226</v>
      </c>
      <c r="E49" s="55" t="s">
        <v>176</v>
      </c>
      <c r="F49" s="55" t="s">
        <v>64</v>
      </c>
      <c r="G49" s="55" t="s">
        <v>135</v>
      </c>
      <c r="H49" s="55" t="s">
        <v>26</v>
      </c>
      <c r="I49" s="55" t="s">
        <v>186</v>
      </c>
      <c r="J49" s="55" t="s">
        <v>221</v>
      </c>
      <c r="K49" s="55">
        <v>53</v>
      </c>
      <c r="L49" s="59" t="s">
        <v>200</v>
      </c>
      <c r="M49" s="55" t="s">
        <v>201</v>
      </c>
      <c r="N49" s="38" t="s">
        <v>7</v>
      </c>
      <c r="O49" s="55" t="s">
        <v>27</v>
      </c>
      <c r="P49" s="55" t="s">
        <v>142</v>
      </c>
      <c r="Q49" s="55" t="s">
        <v>26</v>
      </c>
      <c r="R49" s="55" t="s">
        <v>184</v>
      </c>
      <c r="S49" s="55" t="s">
        <v>221</v>
      </c>
      <c r="T49" s="55" t="s">
        <v>169</v>
      </c>
      <c r="U49" s="55" t="s">
        <v>103</v>
      </c>
      <c r="V49" s="56" t="s">
        <v>227</v>
      </c>
      <c r="W49" s="57" t="s">
        <v>223</v>
      </c>
      <c r="X49" s="58" t="s">
        <v>224</v>
      </c>
    </row>
    <row r="50" spans="1:24" ht="63" x14ac:dyDescent="0.45">
      <c r="A50" s="54">
        <v>49</v>
      </c>
      <c r="B50" s="55" t="s">
        <v>218</v>
      </c>
      <c r="C50" s="55" t="s">
        <v>225</v>
      </c>
      <c r="D50" s="55" t="s">
        <v>226</v>
      </c>
      <c r="E50" s="55" t="s">
        <v>21</v>
      </c>
      <c r="F50" s="55" t="s">
        <v>64</v>
      </c>
      <c r="G50" s="55" t="s">
        <v>135</v>
      </c>
      <c r="H50" s="55" t="s">
        <v>26</v>
      </c>
      <c r="I50" s="55" t="s">
        <v>186</v>
      </c>
      <c r="J50" s="55" t="s">
        <v>221</v>
      </c>
      <c r="K50" s="55">
        <v>53</v>
      </c>
      <c r="L50" s="59" t="s">
        <v>200</v>
      </c>
      <c r="M50" s="55" t="s">
        <v>201</v>
      </c>
      <c r="N50" s="38" t="s">
        <v>7</v>
      </c>
      <c r="O50" s="55" t="s">
        <v>64</v>
      </c>
      <c r="P50" s="55" t="s">
        <v>135</v>
      </c>
      <c r="Q50" s="55" t="s">
        <v>26</v>
      </c>
      <c r="R50" s="55" t="s">
        <v>186</v>
      </c>
      <c r="S50" s="55" t="s">
        <v>221</v>
      </c>
      <c r="T50" s="55" t="s">
        <v>169</v>
      </c>
      <c r="U50" s="55" t="s">
        <v>103</v>
      </c>
      <c r="V50" s="56" t="s">
        <v>227</v>
      </c>
      <c r="W50" s="57" t="s">
        <v>223</v>
      </c>
      <c r="X50" s="58" t="s">
        <v>224</v>
      </c>
    </row>
    <row r="51" spans="1:24" ht="63" x14ac:dyDescent="0.45">
      <c r="A51" s="54">
        <v>50</v>
      </c>
      <c r="B51" s="55" t="s">
        <v>218</v>
      </c>
      <c r="C51" s="55" t="s">
        <v>225</v>
      </c>
      <c r="D51" s="55" t="s">
        <v>226</v>
      </c>
      <c r="E51" s="55" t="s">
        <v>21</v>
      </c>
      <c r="F51" s="55" t="s">
        <v>64</v>
      </c>
      <c r="G51" s="55" t="s">
        <v>135</v>
      </c>
      <c r="H51" s="55" t="s">
        <v>26</v>
      </c>
      <c r="I51" s="55" t="s">
        <v>186</v>
      </c>
      <c r="J51" s="55" t="s">
        <v>221</v>
      </c>
      <c r="K51" s="55">
        <v>53</v>
      </c>
      <c r="L51" s="59" t="s">
        <v>200</v>
      </c>
      <c r="M51" s="55" t="s">
        <v>201</v>
      </c>
      <c r="N51" s="38" t="s">
        <v>7</v>
      </c>
      <c r="O51" s="55" t="s">
        <v>66</v>
      </c>
      <c r="P51" s="55" t="s">
        <v>136</v>
      </c>
      <c r="Q51" s="55" t="s">
        <v>26</v>
      </c>
      <c r="R51" s="55" t="s">
        <v>188</v>
      </c>
      <c r="S51" s="55" t="s">
        <v>221</v>
      </c>
      <c r="T51" s="55" t="s">
        <v>169</v>
      </c>
      <c r="U51" s="55" t="s">
        <v>103</v>
      </c>
      <c r="V51" s="56" t="s">
        <v>227</v>
      </c>
      <c r="W51" s="57" t="s">
        <v>223</v>
      </c>
      <c r="X51" s="58" t="s">
        <v>224</v>
      </c>
    </row>
    <row r="52" spans="1:24" ht="63" x14ac:dyDescent="0.45">
      <c r="A52" s="54">
        <v>51</v>
      </c>
      <c r="B52" s="55" t="s">
        <v>218</v>
      </c>
      <c r="C52" s="55" t="s">
        <v>225</v>
      </c>
      <c r="D52" s="55" t="s">
        <v>226</v>
      </c>
      <c r="E52" s="55" t="s">
        <v>21</v>
      </c>
      <c r="F52" s="55" t="s">
        <v>64</v>
      </c>
      <c r="G52" s="55" t="s">
        <v>135</v>
      </c>
      <c r="H52" s="55" t="s">
        <v>26</v>
      </c>
      <c r="I52" s="55" t="s">
        <v>186</v>
      </c>
      <c r="J52" s="55" t="s">
        <v>221</v>
      </c>
      <c r="K52" s="55">
        <v>53</v>
      </c>
      <c r="L52" s="59" t="s">
        <v>200</v>
      </c>
      <c r="M52" s="55" t="s">
        <v>201</v>
      </c>
      <c r="N52" s="38" t="s">
        <v>7</v>
      </c>
      <c r="O52" s="55" t="s">
        <v>68</v>
      </c>
      <c r="P52" s="55" t="s">
        <v>137</v>
      </c>
      <c r="Q52" s="55" t="s">
        <v>26</v>
      </c>
      <c r="R52" s="55" t="s">
        <v>190</v>
      </c>
      <c r="S52" s="55" t="s">
        <v>221</v>
      </c>
      <c r="T52" s="55" t="s">
        <v>169</v>
      </c>
      <c r="U52" s="55" t="s">
        <v>103</v>
      </c>
      <c r="V52" s="56" t="s">
        <v>227</v>
      </c>
      <c r="W52" s="57" t="s">
        <v>223</v>
      </c>
      <c r="X52" s="58" t="s">
        <v>224</v>
      </c>
    </row>
    <row r="53" spans="1:24" ht="63" x14ac:dyDescent="0.45">
      <c r="A53" s="54">
        <v>52</v>
      </c>
      <c r="B53" s="55" t="s">
        <v>218</v>
      </c>
      <c r="C53" s="55" t="s">
        <v>225</v>
      </c>
      <c r="D53" s="55" t="s">
        <v>226</v>
      </c>
      <c r="E53" s="55" t="s">
        <v>21</v>
      </c>
      <c r="F53" s="55" t="s">
        <v>64</v>
      </c>
      <c r="G53" s="55" t="s">
        <v>135</v>
      </c>
      <c r="H53" s="55" t="s">
        <v>26</v>
      </c>
      <c r="I53" s="55" t="s">
        <v>186</v>
      </c>
      <c r="J53" s="55" t="s">
        <v>221</v>
      </c>
      <c r="K53" s="55">
        <v>53</v>
      </c>
      <c r="L53" s="59" t="s">
        <v>200</v>
      </c>
      <c r="M53" s="55" t="s">
        <v>203</v>
      </c>
      <c r="N53" s="38" t="s">
        <v>7</v>
      </c>
      <c r="O53" s="55" t="s">
        <v>60</v>
      </c>
      <c r="P53" s="55" t="s">
        <v>178</v>
      </c>
      <c r="Q53" s="55" t="s">
        <v>26</v>
      </c>
      <c r="R53" s="55" t="s">
        <v>192</v>
      </c>
      <c r="S53" s="55" t="s">
        <v>221</v>
      </c>
      <c r="T53" s="55" t="s">
        <v>169</v>
      </c>
      <c r="U53" s="55" t="s">
        <v>103</v>
      </c>
      <c r="V53" s="56" t="s">
        <v>228</v>
      </c>
      <c r="W53" s="57" t="s">
        <v>223</v>
      </c>
      <c r="X53" s="58" t="s">
        <v>224</v>
      </c>
    </row>
    <row r="54" spans="1:24" ht="63" x14ac:dyDescent="0.45">
      <c r="A54" s="54">
        <v>53</v>
      </c>
      <c r="B54" s="55" t="s">
        <v>218</v>
      </c>
      <c r="C54" s="55" t="s">
        <v>225</v>
      </c>
      <c r="D54" s="55" t="s">
        <v>226</v>
      </c>
      <c r="E54" s="55" t="s">
        <v>21</v>
      </c>
      <c r="F54" s="55" t="s">
        <v>64</v>
      </c>
      <c r="G54" s="55" t="s">
        <v>135</v>
      </c>
      <c r="H54" s="55" t="s">
        <v>26</v>
      </c>
      <c r="I54" s="55" t="s">
        <v>186</v>
      </c>
      <c r="J54" s="55" t="s">
        <v>221</v>
      </c>
      <c r="K54" s="55">
        <v>53</v>
      </c>
      <c r="L54" s="59" t="s">
        <v>200</v>
      </c>
      <c r="M54" s="55" t="s">
        <v>203</v>
      </c>
      <c r="N54" s="38" t="s">
        <v>7</v>
      </c>
      <c r="O54" s="55" t="s">
        <v>22</v>
      </c>
      <c r="P54" s="55" t="s">
        <v>179</v>
      </c>
      <c r="Q54" s="55" t="s">
        <v>26</v>
      </c>
      <c r="R54" s="55" t="s">
        <v>194</v>
      </c>
      <c r="S54" s="55" t="s">
        <v>221</v>
      </c>
      <c r="T54" s="55" t="s">
        <v>169</v>
      </c>
      <c r="U54" s="55" t="s">
        <v>103</v>
      </c>
      <c r="V54" s="56" t="s">
        <v>228</v>
      </c>
      <c r="W54" s="57" t="s">
        <v>223</v>
      </c>
      <c r="X54" s="58" t="s">
        <v>224</v>
      </c>
    </row>
    <row r="55" spans="1:24" ht="63" x14ac:dyDescent="0.45">
      <c r="A55" s="54">
        <v>54</v>
      </c>
      <c r="B55" s="55" t="s">
        <v>218</v>
      </c>
      <c r="C55" s="55" t="s">
        <v>225</v>
      </c>
      <c r="D55" s="55" t="s">
        <v>226</v>
      </c>
      <c r="E55" s="55" t="s">
        <v>21</v>
      </c>
      <c r="F55" s="55" t="s">
        <v>64</v>
      </c>
      <c r="G55" s="55" t="s">
        <v>135</v>
      </c>
      <c r="H55" s="55" t="s">
        <v>26</v>
      </c>
      <c r="I55" s="55" t="s">
        <v>186</v>
      </c>
      <c r="J55" s="55" t="s">
        <v>221</v>
      </c>
      <c r="K55" s="55">
        <v>53</v>
      </c>
      <c r="L55" s="59" t="s">
        <v>200</v>
      </c>
      <c r="M55" s="55" t="s">
        <v>203</v>
      </c>
      <c r="N55" s="38" t="s">
        <v>7</v>
      </c>
      <c r="O55" s="55" t="s">
        <v>23</v>
      </c>
      <c r="P55" s="55" t="s">
        <v>180</v>
      </c>
      <c r="Q55" s="55" t="s">
        <v>26</v>
      </c>
      <c r="R55" s="55" t="s">
        <v>196</v>
      </c>
      <c r="S55" s="55" t="s">
        <v>221</v>
      </c>
      <c r="T55" s="55" t="s">
        <v>169</v>
      </c>
      <c r="U55" s="55" t="s">
        <v>103</v>
      </c>
      <c r="V55" s="56" t="s">
        <v>228</v>
      </c>
      <c r="W55" s="57" t="s">
        <v>223</v>
      </c>
      <c r="X55" s="58" t="s">
        <v>224</v>
      </c>
    </row>
    <row r="56" spans="1:24" ht="63" x14ac:dyDescent="0.45">
      <c r="A56" s="54">
        <v>55</v>
      </c>
      <c r="B56" s="55" t="s">
        <v>218</v>
      </c>
      <c r="C56" s="55" t="s">
        <v>225</v>
      </c>
      <c r="D56" s="55" t="s">
        <v>226</v>
      </c>
      <c r="E56" s="55" t="s">
        <v>21</v>
      </c>
      <c r="F56" s="55" t="s">
        <v>64</v>
      </c>
      <c r="G56" s="55" t="s">
        <v>135</v>
      </c>
      <c r="H56" s="55" t="s">
        <v>26</v>
      </c>
      <c r="I56" s="55" t="s">
        <v>186</v>
      </c>
      <c r="J56" s="55" t="s">
        <v>221</v>
      </c>
      <c r="K56" s="55">
        <v>53</v>
      </c>
      <c r="L56" s="59" t="s">
        <v>200</v>
      </c>
      <c r="M56" s="55" t="s">
        <v>203</v>
      </c>
      <c r="N56" s="38" t="s">
        <v>7</v>
      </c>
      <c r="O56" s="55" t="s">
        <v>24</v>
      </c>
      <c r="P56" s="55" t="s">
        <v>181</v>
      </c>
      <c r="Q56" s="55" t="s">
        <v>26</v>
      </c>
      <c r="R56" s="55" t="s">
        <v>198</v>
      </c>
      <c r="S56" s="55" t="s">
        <v>221</v>
      </c>
      <c r="T56" s="55" t="s">
        <v>169</v>
      </c>
      <c r="U56" s="55" t="s">
        <v>103</v>
      </c>
      <c r="V56" s="56" t="s">
        <v>229</v>
      </c>
      <c r="W56" s="57" t="s">
        <v>223</v>
      </c>
      <c r="X56" s="58" t="s">
        <v>224</v>
      </c>
    </row>
    <row r="57" spans="1:24" ht="47.25" x14ac:dyDescent="0.45">
      <c r="A57" s="5">
        <v>56</v>
      </c>
      <c r="B57" s="6" t="s">
        <v>230</v>
      </c>
      <c r="C57" s="6" t="s">
        <v>231</v>
      </c>
      <c r="D57" s="6" t="s">
        <v>232</v>
      </c>
      <c r="E57" s="6" t="s">
        <v>13</v>
      </c>
      <c r="F57" s="6" t="s">
        <v>233</v>
      </c>
      <c r="G57" s="6" t="s">
        <v>130</v>
      </c>
      <c r="H57" s="6" t="s">
        <v>26</v>
      </c>
      <c r="I57" s="6" t="s">
        <v>185</v>
      </c>
      <c r="J57" s="6" t="s">
        <v>234</v>
      </c>
      <c r="K57" s="6" t="s">
        <v>169</v>
      </c>
      <c r="L57" s="39" t="s">
        <v>200</v>
      </c>
      <c r="M57" s="6" t="s">
        <v>203</v>
      </c>
      <c r="N57" s="7" t="s">
        <v>170</v>
      </c>
      <c r="O57" s="6" t="s">
        <v>60</v>
      </c>
      <c r="P57" s="6" t="s">
        <v>214</v>
      </c>
      <c r="Q57" s="6" t="s">
        <v>26</v>
      </c>
      <c r="R57" s="6" t="s">
        <v>193</v>
      </c>
      <c r="S57" s="6" t="s">
        <v>244</v>
      </c>
      <c r="T57" s="10">
        <v>443</v>
      </c>
      <c r="U57" s="6" t="s">
        <v>103</v>
      </c>
      <c r="V57" s="10" t="s">
        <v>243</v>
      </c>
      <c r="W57" s="11" t="s">
        <v>242</v>
      </c>
      <c r="X57" s="10" t="s">
        <v>235</v>
      </c>
    </row>
    <row r="58" spans="1:24" ht="31.5" x14ac:dyDescent="0.45">
      <c r="A58" s="5">
        <v>57</v>
      </c>
      <c r="B58" s="6" t="s">
        <v>230</v>
      </c>
      <c r="C58" s="6" t="s">
        <v>236</v>
      </c>
      <c r="D58" s="6" t="s">
        <v>237</v>
      </c>
      <c r="E58" s="6" t="s">
        <v>13</v>
      </c>
      <c r="F58" s="6" t="s">
        <v>28</v>
      </c>
      <c r="G58" s="6" t="s">
        <v>214</v>
      </c>
      <c r="H58" s="6" t="s">
        <v>26</v>
      </c>
      <c r="I58" s="6" t="s">
        <v>193</v>
      </c>
      <c r="J58" s="6" t="s">
        <v>234</v>
      </c>
      <c r="K58" s="6" t="s">
        <v>169</v>
      </c>
      <c r="L58" s="39" t="s">
        <v>200</v>
      </c>
      <c r="M58" s="6" t="s">
        <v>97</v>
      </c>
      <c r="N58" s="7" t="s">
        <v>170</v>
      </c>
      <c r="O58" s="6" t="s">
        <v>22</v>
      </c>
      <c r="P58" s="6" t="s">
        <v>215</v>
      </c>
      <c r="Q58" s="6" t="s">
        <v>26</v>
      </c>
      <c r="R58" s="6" t="s">
        <v>195</v>
      </c>
      <c r="S58" s="6" t="s">
        <v>244</v>
      </c>
      <c r="T58" s="10">
        <v>80</v>
      </c>
      <c r="U58" s="6" t="s">
        <v>103</v>
      </c>
      <c r="V58" s="10" t="s">
        <v>238</v>
      </c>
      <c r="W58" s="11" t="s">
        <v>242</v>
      </c>
      <c r="X58" s="6" t="s">
        <v>245</v>
      </c>
    </row>
    <row r="59" spans="1:24" ht="31.5" x14ac:dyDescent="0.45">
      <c r="A59" s="60">
        <v>58</v>
      </c>
      <c r="B59" s="61" t="s">
        <v>230</v>
      </c>
      <c r="C59" s="61" t="s">
        <v>240</v>
      </c>
      <c r="D59" s="61" t="s">
        <v>241</v>
      </c>
      <c r="E59" s="61" t="s">
        <v>21</v>
      </c>
      <c r="F59" s="61" t="s">
        <v>107</v>
      </c>
      <c r="G59" s="61" t="s">
        <v>215</v>
      </c>
      <c r="H59" s="61" t="s">
        <v>26</v>
      </c>
      <c r="I59" s="61" t="s">
        <v>195</v>
      </c>
      <c r="J59" s="61" t="s">
        <v>234</v>
      </c>
      <c r="K59" s="61" t="s">
        <v>169</v>
      </c>
      <c r="L59" s="41" t="s">
        <v>200</v>
      </c>
      <c r="M59" s="61" t="s">
        <v>201</v>
      </c>
      <c r="N59" s="40" t="s">
        <v>170</v>
      </c>
      <c r="O59" s="61" t="s">
        <v>60</v>
      </c>
      <c r="P59" s="61" t="s">
        <v>214</v>
      </c>
      <c r="Q59" s="61" t="s">
        <v>26</v>
      </c>
      <c r="R59" s="61" t="s">
        <v>193</v>
      </c>
      <c r="S59" s="61" t="s">
        <v>244</v>
      </c>
      <c r="T59" s="62">
        <v>80</v>
      </c>
      <c r="U59" s="62" t="s">
        <v>103</v>
      </c>
      <c r="V59" s="62" t="s">
        <v>238</v>
      </c>
      <c r="W59" s="81" t="s">
        <v>242</v>
      </c>
      <c r="X59" s="61" t="s">
        <v>239</v>
      </c>
    </row>
    <row r="60" spans="1:24" ht="47.25" x14ac:dyDescent="0.45">
      <c r="A60" s="60">
        <v>59</v>
      </c>
      <c r="B60" s="61" t="s">
        <v>230</v>
      </c>
      <c r="C60" s="61" t="s">
        <v>231</v>
      </c>
      <c r="D60" s="61" t="s">
        <v>232</v>
      </c>
      <c r="E60" s="61" t="s">
        <v>21</v>
      </c>
      <c r="F60" s="61" t="s">
        <v>28</v>
      </c>
      <c r="G60" s="61" t="s">
        <v>214</v>
      </c>
      <c r="H60" s="61" t="s">
        <v>26</v>
      </c>
      <c r="I60" s="61" t="s">
        <v>193</v>
      </c>
      <c r="J60" s="61" t="s">
        <v>234</v>
      </c>
      <c r="K60" s="61" t="s">
        <v>169</v>
      </c>
      <c r="L60" s="41" t="s">
        <v>200</v>
      </c>
      <c r="M60" s="61" t="s">
        <v>203</v>
      </c>
      <c r="N60" s="40" t="s">
        <v>170</v>
      </c>
      <c r="O60" s="61" t="s">
        <v>233</v>
      </c>
      <c r="P60" s="61" t="s">
        <v>130</v>
      </c>
      <c r="Q60" s="61" t="s">
        <v>26</v>
      </c>
      <c r="R60" s="61" t="s">
        <v>185</v>
      </c>
      <c r="S60" s="61" t="s">
        <v>244</v>
      </c>
      <c r="T60" s="62">
        <v>443</v>
      </c>
      <c r="U60" s="62" t="s">
        <v>103</v>
      </c>
      <c r="V60" s="62" t="s">
        <v>243</v>
      </c>
      <c r="W60" s="82" t="s">
        <v>242</v>
      </c>
      <c r="X60" s="62" t="s">
        <v>235</v>
      </c>
    </row>
    <row r="61" spans="1:24" ht="31.5" x14ac:dyDescent="0.45">
      <c r="A61" s="5">
        <v>60</v>
      </c>
      <c r="B61" s="6" t="s">
        <v>246</v>
      </c>
      <c r="C61" s="6" t="s">
        <v>247</v>
      </c>
      <c r="D61" s="6" t="s">
        <v>248</v>
      </c>
      <c r="E61" s="6" t="s">
        <v>13</v>
      </c>
      <c r="F61" s="6" t="s">
        <v>107</v>
      </c>
      <c r="G61" s="6" t="s">
        <v>215</v>
      </c>
      <c r="H61" s="6" t="s">
        <v>26</v>
      </c>
      <c r="I61" s="6" t="s">
        <v>195</v>
      </c>
      <c r="J61" s="6" t="s">
        <v>234</v>
      </c>
      <c r="K61" s="6" t="s">
        <v>169</v>
      </c>
      <c r="L61" s="39" t="s">
        <v>200</v>
      </c>
      <c r="M61" s="39" t="s">
        <v>201</v>
      </c>
      <c r="N61" s="7" t="s">
        <v>7</v>
      </c>
      <c r="O61" s="6" t="s">
        <v>23</v>
      </c>
      <c r="P61" s="6" t="s">
        <v>216</v>
      </c>
      <c r="Q61" s="6" t="s">
        <v>26</v>
      </c>
      <c r="R61" s="6" t="s">
        <v>197</v>
      </c>
      <c r="S61" s="6" t="s">
        <v>234</v>
      </c>
      <c r="T61" s="6">
        <v>8080</v>
      </c>
      <c r="U61" s="6" t="s">
        <v>103</v>
      </c>
      <c r="V61" s="10" t="s">
        <v>249</v>
      </c>
      <c r="W61" s="11" t="s">
        <v>250</v>
      </c>
      <c r="X61" s="6" t="s">
        <v>245</v>
      </c>
    </row>
    <row r="62" spans="1:24" ht="31.5" x14ac:dyDescent="0.45">
      <c r="A62" s="17">
        <v>61</v>
      </c>
      <c r="B62" s="18" t="s">
        <v>246</v>
      </c>
      <c r="C62" s="18" t="s">
        <v>251</v>
      </c>
      <c r="D62" s="18" t="s">
        <v>252</v>
      </c>
      <c r="E62" s="18" t="s">
        <v>21</v>
      </c>
      <c r="F62" s="18" t="s">
        <v>23</v>
      </c>
      <c r="G62" s="18" t="s">
        <v>180</v>
      </c>
      <c r="H62" s="18" t="s">
        <v>26</v>
      </c>
      <c r="I62" s="18" t="s">
        <v>196</v>
      </c>
      <c r="J62" s="18" t="s">
        <v>234</v>
      </c>
      <c r="K62" s="18">
        <v>8080</v>
      </c>
      <c r="L62" s="42" t="s">
        <v>200</v>
      </c>
      <c r="M62" s="42" t="s">
        <v>201</v>
      </c>
      <c r="N62" s="19" t="s">
        <v>7</v>
      </c>
      <c r="O62" s="18" t="s">
        <v>107</v>
      </c>
      <c r="P62" s="18" t="s">
        <v>179</v>
      </c>
      <c r="Q62" s="18" t="s">
        <v>26</v>
      </c>
      <c r="R62" s="18" t="s">
        <v>194</v>
      </c>
      <c r="S62" s="18" t="s">
        <v>234</v>
      </c>
      <c r="T62" s="18" t="s">
        <v>169</v>
      </c>
      <c r="U62" s="18" t="s">
        <v>103</v>
      </c>
      <c r="V62" s="20" t="s">
        <v>249</v>
      </c>
      <c r="W62" s="25" t="s">
        <v>250</v>
      </c>
      <c r="X62" s="18" t="s">
        <v>245</v>
      </c>
    </row>
    <row r="63" spans="1:24" ht="31.5" x14ac:dyDescent="0.45">
      <c r="A63" s="5">
        <v>62</v>
      </c>
      <c r="B63" s="6" t="s">
        <v>253</v>
      </c>
      <c r="C63" s="6" t="s">
        <v>254</v>
      </c>
      <c r="D63" s="6" t="s">
        <v>255</v>
      </c>
      <c r="E63" s="6" t="s">
        <v>13</v>
      </c>
      <c r="F63" s="6" t="s">
        <v>23</v>
      </c>
      <c r="G63" s="6" t="s">
        <v>216</v>
      </c>
      <c r="H63" s="6" t="s">
        <v>26</v>
      </c>
      <c r="I63" s="6" t="s">
        <v>197</v>
      </c>
      <c r="J63" s="6" t="s">
        <v>234</v>
      </c>
      <c r="K63" s="6" t="s">
        <v>169</v>
      </c>
      <c r="L63" s="39" t="s">
        <v>200</v>
      </c>
      <c r="M63" s="6" t="s">
        <v>203</v>
      </c>
      <c r="N63" s="7" t="s">
        <v>7</v>
      </c>
      <c r="O63" s="6" t="s">
        <v>111</v>
      </c>
      <c r="P63" s="6" t="s">
        <v>217</v>
      </c>
      <c r="Q63" s="6" t="s">
        <v>26</v>
      </c>
      <c r="R63" s="6" t="s">
        <v>199</v>
      </c>
      <c r="S63" s="6" t="s">
        <v>234</v>
      </c>
      <c r="T63" s="6">
        <v>5432</v>
      </c>
      <c r="U63" s="6" t="s">
        <v>103</v>
      </c>
      <c r="V63" s="10" t="s">
        <v>256</v>
      </c>
      <c r="W63" s="11" t="s">
        <v>257</v>
      </c>
      <c r="X63" s="65" t="s">
        <v>258</v>
      </c>
    </row>
    <row r="64" spans="1:24" ht="31.5" x14ac:dyDescent="0.45">
      <c r="A64" s="63">
        <v>63</v>
      </c>
      <c r="B64" s="45" t="s">
        <v>253</v>
      </c>
      <c r="C64" s="45" t="s">
        <v>259</v>
      </c>
      <c r="D64" s="45" t="s">
        <v>260</v>
      </c>
      <c r="E64" s="45" t="s">
        <v>21</v>
      </c>
      <c r="F64" s="45" t="s">
        <v>24</v>
      </c>
      <c r="G64" s="45" t="s">
        <v>217</v>
      </c>
      <c r="H64" s="45" t="s">
        <v>26</v>
      </c>
      <c r="I64" s="45" t="s">
        <v>199</v>
      </c>
      <c r="J64" s="45" t="s">
        <v>234</v>
      </c>
      <c r="K64" s="45">
        <v>5432</v>
      </c>
      <c r="L64" s="44" t="s">
        <v>200</v>
      </c>
      <c r="M64" s="45" t="s">
        <v>203</v>
      </c>
      <c r="N64" s="43" t="s">
        <v>7</v>
      </c>
      <c r="O64" s="45" t="s">
        <v>23</v>
      </c>
      <c r="P64" s="45" t="s">
        <v>216</v>
      </c>
      <c r="Q64" s="45" t="s">
        <v>26</v>
      </c>
      <c r="R64" s="45" t="s">
        <v>197</v>
      </c>
      <c r="S64" s="45" t="s">
        <v>234</v>
      </c>
      <c r="T64" s="45" t="s">
        <v>169</v>
      </c>
      <c r="U64" s="45" t="s">
        <v>103</v>
      </c>
      <c r="V64" s="64" t="s">
        <v>256</v>
      </c>
      <c r="W64" s="71" t="s">
        <v>257</v>
      </c>
      <c r="X64" s="66" t="s">
        <v>258</v>
      </c>
    </row>
    <row r="65" spans="1:24" x14ac:dyDescent="0.45">
      <c r="A65" s="5">
        <v>64</v>
      </c>
      <c r="B65" s="6" t="s">
        <v>45</v>
      </c>
      <c r="C65" s="6" t="s">
        <v>82</v>
      </c>
      <c r="D65" s="6" t="s">
        <v>55</v>
      </c>
      <c r="E65" s="6" t="s">
        <v>13</v>
      </c>
      <c r="F65" s="6" t="s">
        <v>49</v>
      </c>
      <c r="G65" s="6" t="s">
        <v>134</v>
      </c>
      <c r="H65" s="6" t="s">
        <v>17</v>
      </c>
      <c r="I65" s="6" t="s">
        <v>185</v>
      </c>
      <c r="J65" s="6" t="s">
        <v>45</v>
      </c>
      <c r="K65" s="6" t="s">
        <v>57</v>
      </c>
      <c r="L65" s="6" t="s">
        <v>85</v>
      </c>
      <c r="M65" s="6" t="s">
        <v>97</v>
      </c>
      <c r="N65" s="7" t="s">
        <v>7</v>
      </c>
      <c r="O65" s="6" t="s">
        <v>62</v>
      </c>
      <c r="P65" s="6" t="s">
        <v>177</v>
      </c>
      <c r="Q65" s="6" t="s">
        <v>71</v>
      </c>
      <c r="R65" s="6" t="s">
        <v>183</v>
      </c>
      <c r="S65" s="6" t="s">
        <v>45</v>
      </c>
      <c r="T65" s="6" t="s">
        <v>57</v>
      </c>
      <c r="U65" s="6" t="s">
        <v>51</v>
      </c>
      <c r="V65" s="10" t="s">
        <v>53</v>
      </c>
      <c r="W65" s="11" t="s">
        <v>52</v>
      </c>
      <c r="X65" s="8" t="s">
        <v>54</v>
      </c>
    </row>
    <row r="66" spans="1:24" x14ac:dyDescent="0.45">
      <c r="A66" s="5">
        <v>65</v>
      </c>
      <c r="B66" s="6" t="s">
        <v>45</v>
      </c>
      <c r="C66" s="6" t="s">
        <v>82</v>
      </c>
      <c r="D66" s="6" t="s">
        <v>55</v>
      </c>
      <c r="E66" s="6" t="s">
        <v>13</v>
      </c>
      <c r="F66" s="6" t="s">
        <v>49</v>
      </c>
      <c r="G66" s="6" t="s">
        <v>134</v>
      </c>
      <c r="H66" s="6" t="s">
        <v>17</v>
      </c>
      <c r="I66" s="6" t="s">
        <v>185</v>
      </c>
      <c r="J66" s="6" t="s">
        <v>45</v>
      </c>
      <c r="K66" s="6" t="s">
        <v>57</v>
      </c>
      <c r="L66" s="6" t="s">
        <v>85</v>
      </c>
      <c r="M66" s="6" t="s">
        <v>97</v>
      </c>
      <c r="N66" s="7" t="s">
        <v>7</v>
      </c>
      <c r="O66" s="6" t="s">
        <v>63</v>
      </c>
      <c r="P66" s="6" t="s">
        <v>142</v>
      </c>
      <c r="Q66" s="6" t="s">
        <v>26</v>
      </c>
      <c r="R66" s="6" t="s">
        <v>145</v>
      </c>
      <c r="S66" s="6" t="s">
        <v>45</v>
      </c>
      <c r="T66" s="6" t="s">
        <v>57</v>
      </c>
      <c r="U66" s="6" t="s">
        <v>51</v>
      </c>
      <c r="V66" s="10" t="s">
        <v>53</v>
      </c>
      <c r="W66" s="11" t="s">
        <v>52</v>
      </c>
      <c r="X66" s="8" t="s">
        <v>54</v>
      </c>
    </row>
    <row r="67" spans="1:24" x14ac:dyDescent="0.45">
      <c r="A67" s="5">
        <v>66</v>
      </c>
      <c r="B67" s="6" t="s">
        <v>45</v>
      </c>
      <c r="C67" s="6" t="s">
        <v>82</v>
      </c>
      <c r="D67" s="6" t="s">
        <v>55</v>
      </c>
      <c r="E67" s="6" t="s">
        <v>13</v>
      </c>
      <c r="F67" s="6" t="s">
        <v>49</v>
      </c>
      <c r="G67" s="6" t="s">
        <v>134</v>
      </c>
      <c r="H67" s="6" t="s">
        <v>17</v>
      </c>
      <c r="I67" s="6" t="s">
        <v>185</v>
      </c>
      <c r="J67" s="6" t="s">
        <v>45</v>
      </c>
      <c r="K67" s="6" t="s">
        <v>57</v>
      </c>
      <c r="L67" s="6" t="s">
        <v>85</v>
      </c>
      <c r="M67" s="6" t="s">
        <v>97</v>
      </c>
      <c r="N67" s="7" t="s">
        <v>7</v>
      </c>
      <c r="O67" s="6" t="s">
        <v>65</v>
      </c>
      <c r="P67" s="6" t="s">
        <v>135</v>
      </c>
      <c r="Q67" s="6" t="s">
        <v>26</v>
      </c>
      <c r="R67" s="6" t="s">
        <v>187</v>
      </c>
      <c r="S67" s="6" t="s">
        <v>45</v>
      </c>
      <c r="T67" s="6" t="s">
        <v>57</v>
      </c>
      <c r="U67" s="6" t="s">
        <v>51</v>
      </c>
      <c r="V67" s="10" t="s">
        <v>53</v>
      </c>
      <c r="W67" s="11" t="s">
        <v>52</v>
      </c>
      <c r="X67" s="8" t="s">
        <v>54</v>
      </c>
    </row>
    <row r="68" spans="1:24" x14ac:dyDescent="0.45">
      <c r="A68" s="5">
        <v>67</v>
      </c>
      <c r="B68" s="6" t="s">
        <v>45</v>
      </c>
      <c r="C68" s="6" t="s">
        <v>82</v>
      </c>
      <c r="D68" s="6" t="s">
        <v>55</v>
      </c>
      <c r="E68" s="6" t="s">
        <v>13</v>
      </c>
      <c r="F68" s="6" t="s">
        <v>49</v>
      </c>
      <c r="G68" s="6" t="s">
        <v>134</v>
      </c>
      <c r="H68" s="6" t="s">
        <v>17</v>
      </c>
      <c r="I68" s="6" t="s">
        <v>185</v>
      </c>
      <c r="J68" s="6" t="s">
        <v>45</v>
      </c>
      <c r="K68" s="6" t="s">
        <v>57</v>
      </c>
      <c r="L68" s="6" t="s">
        <v>85</v>
      </c>
      <c r="M68" s="6" t="s">
        <v>97</v>
      </c>
      <c r="N68" s="7" t="s">
        <v>7</v>
      </c>
      <c r="O68" s="6" t="s">
        <v>67</v>
      </c>
      <c r="P68" s="6" t="s">
        <v>136</v>
      </c>
      <c r="Q68" s="6" t="s">
        <v>26</v>
      </c>
      <c r="R68" s="6" t="s">
        <v>189</v>
      </c>
      <c r="S68" s="6" t="s">
        <v>45</v>
      </c>
      <c r="T68" s="6" t="s">
        <v>57</v>
      </c>
      <c r="U68" s="6" t="s">
        <v>51</v>
      </c>
      <c r="V68" s="10" t="s">
        <v>53</v>
      </c>
      <c r="W68" s="11" t="s">
        <v>52</v>
      </c>
      <c r="X68" s="8" t="s">
        <v>54</v>
      </c>
    </row>
    <row r="69" spans="1:24" x14ac:dyDescent="0.45">
      <c r="A69" s="5">
        <v>68</v>
      </c>
      <c r="B69" s="6" t="s">
        <v>45</v>
      </c>
      <c r="C69" s="6" t="s">
        <v>82</v>
      </c>
      <c r="D69" s="6" t="s">
        <v>55</v>
      </c>
      <c r="E69" s="6" t="s">
        <v>13</v>
      </c>
      <c r="F69" s="6" t="s">
        <v>49</v>
      </c>
      <c r="G69" s="6" t="s">
        <v>134</v>
      </c>
      <c r="H69" s="6" t="s">
        <v>17</v>
      </c>
      <c r="I69" s="6" t="s">
        <v>185</v>
      </c>
      <c r="J69" s="6" t="s">
        <v>45</v>
      </c>
      <c r="K69" s="6" t="s">
        <v>57</v>
      </c>
      <c r="L69" s="6" t="s">
        <v>85</v>
      </c>
      <c r="M69" s="6" t="s">
        <v>97</v>
      </c>
      <c r="N69" s="7" t="s">
        <v>7</v>
      </c>
      <c r="O69" s="6" t="s">
        <v>69</v>
      </c>
      <c r="P69" s="6" t="s">
        <v>137</v>
      </c>
      <c r="Q69" s="6" t="s">
        <v>26</v>
      </c>
      <c r="R69" s="6" t="s">
        <v>191</v>
      </c>
      <c r="S69" s="6" t="s">
        <v>45</v>
      </c>
      <c r="T69" s="6" t="s">
        <v>57</v>
      </c>
      <c r="U69" s="6" t="s">
        <v>51</v>
      </c>
      <c r="V69" s="10" t="s">
        <v>53</v>
      </c>
      <c r="W69" s="11" t="s">
        <v>52</v>
      </c>
      <c r="X69" s="8" t="s">
        <v>54</v>
      </c>
    </row>
    <row r="70" spans="1:24" x14ac:dyDescent="0.45">
      <c r="A70" s="5">
        <v>69</v>
      </c>
      <c r="B70" s="6" t="s">
        <v>45</v>
      </c>
      <c r="C70" s="6" t="s">
        <v>82</v>
      </c>
      <c r="D70" s="6" t="s">
        <v>55</v>
      </c>
      <c r="E70" s="6" t="s">
        <v>13</v>
      </c>
      <c r="F70" s="6" t="s">
        <v>49</v>
      </c>
      <c r="G70" s="6" t="s">
        <v>134</v>
      </c>
      <c r="H70" s="6" t="s">
        <v>17</v>
      </c>
      <c r="I70" s="6" t="s">
        <v>185</v>
      </c>
      <c r="J70" s="6" t="s">
        <v>45</v>
      </c>
      <c r="K70" s="6" t="s">
        <v>57</v>
      </c>
      <c r="L70" s="6" t="s">
        <v>85</v>
      </c>
      <c r="M70" s="6" t="s">
        <v>202</v>
      </c>
      <c r="N70" s="7" t="s">
        <v>7</v>
      </c>
      <c r="O70" s="6" t="s">
        <v>28</v>
      </c>
      <c r="P70" s="6" t="s">
        <v>178</v>
      </c>
      <c r="Q70" s="6" t="s">
        <v>26</v>
      </c>
      <c r="R70" s="6" t="s">
        <v>193</v>
      </c>
      <c r="S70" s="6" t="s">
        <v>50</v>
      </c>
      <c r="T70" s="6" t="s">
        <v>57</v>
      </c>
      <c r="U70" s="6" t="s">
        <v>51</v>
      </c>
      <c r="V70" s="10" t="s">
        <v>53</v>
      </c>
      <c r="W70" s="11" t="s">
        <v>52</v>
      </c>
      <c r="X70" s="8" t="s">
        <v>54</v>
      </c>
    </row>
    <row r="71" spans="1:24" x14ac:dyDescent="0.45">
      <c r="A71" s="5">
        <v>70</v>
      </c>
      <c r="B71" s="6" t="s">
        <v>45</v>
      </c>
      <c r="C71" s="6" t="s">
        <v>82</v>
      </c>
      <c r="D71" s="6" t="s">
        <v>55</v>
      </c>
      <c r="E71" s="6" t="s">
        <v>13</v>
      </c>
      <c r="F71" s="6" t="s">
        <v>49</v>
      </c>
      <c r="G71" s="6" t="s">
        <v>134</v>
      </c>
      <c r="H71" s="6" t="s">
        <v>17</v>
      </c>
      <c r="I71" s="6" t="s">
        <v>185</v>
      </c>
      <c r="J71" s="6" t="s">
        <v>45</v>
      </c>
      <c r="K71" s="6" t="s">
        <v>57</v>
      </c>
      <c r="L71" s="6" t="s">
        <v>85</v>
      </c>
      <c r="M71" s="6" t="s">
        <v>202</v>
      </c>
      <c r="N71" s="7" t="s">
        <v>7</v>
      </c>
      <c r="O71" s="6" t="s">
        <v>22</v>
      </c>
      <c r="P71" s="6" t="s">
        <v>179</v>
      </c>
      <c r="Q71" s="6" t="s">
        <v>26</v>
      </c>
      <c r="R71" s="6" t="s">
        <v>195</v>
      </c>
      <c r="S71" s="6" t="s">
        <v>50</v>
      </c>
      <c r="T71" s="6" t="s">
        <v>57</v>
      </c>
      <c r="U71" s="6" t="s">
        <v>51</v>
      </c>
      <c r="V71" s="10" t="s">
        <v>53</v>
      </c>
      <c r="W71" s="11" t="s">
        <v>52</v>
      </c>
      <c r="X71" s="8" t="s">
        <v>54</v>
      </c>
    </row>
    <row r="72" spans="1:24" x14ac:dyDescent="0.45">
      <c r="A72" s="5">
        <v>71</v>
      </c>
      <c r="B72" s="6" t="s">
        <v>45</v>
      </c>
      <c r="C72" s="6" t="s">
        <v>82</v>
      </c>
      <c r="D72" s="6" t="s">
        <v>55</v>
      </c>
      <c r="E72" s="6" t="s">
        <v>13</v>
      </c>
      <c r="F72" s="6" t="s">
        <v>49</v>
      </c>
      <c r="G72" s="6" t="s">
        <v>134</v>
      </c>
      <c r="H72" s="6" t="s">
        <v>17</v>
      </c>
      <c r="I72" s="6" t="s">
        <v>185</v>
      </c>
      <c r="J72" s="6" t="s">
        <v>45</v>
      </c>
      <c r="K72" s="6" t="s">
        <v>57</v>
      </c>
      <c r="L72" s="6" t="s">
        <v>85</v>
      </c>
      <c r="M72" s="6" t="s">
        <v>202</v>
      </c>
      <c r="N72" s="7" t="s">
        <v>7</v>
      </c>
      <c r="O72" s="6" t="s">
        <v>23</v>
      </c>
      <c r="P72" s="6" t="s">
        <v>180</v>
      </c>
      <c r="Q72" s="6" t="s">
        <v>26</v>
      </c>
      <c r="R72" s="6" t="s">
        <v>197</v>
      </c>
      <c r="S72" s="6" t="s">
        <v>50</v>
      </c>
      <c r="T72" s="6" t="s">
        <v>57</v>
      </c>
      <c r="U72" s="6" t="s">
        <v>51</v>
      </c>
      <c r="V72" s="10" t="s">
        <v>53</v>
      </c>
      <c r="W72" s="11" t="s">
        <v>52</v>
      </c>
      <c r="X72" s="8" t="s">
        <v>54</v>
      </c>
    </row>
    <row r="73" spans="1:24" x14ac:dyDescent="0.45">
      <c r="A73" s="5">
        <v>72</v>
      </c>
      <c r="B73" s="6" t="s">
        <v>45</v>
      </c>
      <c r="C73" s="6" t="s">
        <v>82</v>
      </c>
      <c r="D73" s="6" t="s">
        <v>55</v>
      </c>
      <c r="E73" s="6" t="s">
        <v>13</v>
      </c>
      <c r="F73" s="6" t="s">
        <v>49</v>
      </c>
      <c r="G73" s="6" t="s">
        <v>134</v>
      </c>
      <c r="H73" s="6" t="s">
        <v>17</v>
      </c>
      <c r="I73" s="6" t="s">
        <v>185</v>
      </c>
      <c r="J73" s="6" t="s">
        <v>45</v>
      </c>
      <c r="K73" s="6" t="s">
        <v>57</v>
      </c>
      <c r="L73" s="6" t="s">
        <v>85</v>
      </c>
      <c r="M73" s="6" t="s">
        <v>202</v>
      </c>
      <c r="N73" s="7" t="s">
        <v>7</v>
      </c>
      <c r="O73" s="6" t="s">
        <v>24</v>
      </c>
      <c r="P73" s="6" t="s">
        <v>181</v>
      </c>
      <c r="Q73" s="6" t="s">
        <v>26</v>
      </c>
      <c r="R73" s="6" t="s">
        <v>199</v>
      </c>
      <c r="S73" s="6" t="s">
        <v>50</v>
      </c>
      <c r="T73" s="6" t="s">
        <v>57</v>
      </c>
      <c r="U73" s="6" t="s">
        <v>51</v>
      </c>
      <c r="V73" s="10" t="s">
        <v>53</v>
      </c>
      <c r="W73" s="11" t="s">
        <v>52</v>
      </c>
      <c r="X73" s="8" t="s">
        <v>54</v>
      </c>
    </row>
    <row r="74" spans="1:24" x14ac:dyDescent="0.45">
      <c r="A74" s="5">
        <v>73</v>
      </c>
      <c r="B74" s="6" t="s">
        <v>45</v>
      </c>
      <c r="C74" s="6" t="s">
        <v>83</v>
      </c>
      <c r="D74" s="6" t="s">
        <v>55</v>
      </c>
      <c r="E74" s="6" t="s">
        <v>21</v>
      </c>
      <c r="F74" s="6" t="s">
        <v>61</v>
      </c>
      <c r="G74" s="6" t="s">
        <v>177</v>
      </c>
      <c r="H74" s="6" t="s">
        <v>70</v>
      </c>
      <c r="I74" s="6" t="s">
        <v>182</v>
      </c>
      <c r="J74" s="6" t="s">
        <v>45</v>
      </c>
      <c r="K74" s="6" t="s">
        <v>57</v>
      </c>
      <c r="L74" s="6" t="s">
        <v>85</v>
      </c>
      <c r="M74" s="6" t="s">
        <v>97</v>
      </c>
      <c r="N74" s="7" t="s">
        <v>7</v>
      </c>
      <c r="O74" s="6" t="s">
        <v>77</v>
      </c>
      <c r="P74" s="6" t="s">
        <v>134</v>
      </c>
      <c r="Q74" s="6" t="s">
        <v>26</v>
      </c>
      <c r="R74" s="6" t="s">
        <v>184</v>
      </c>
      <c r="S74" s="6" t="s">
        <v>45</v>
      </c>
      <c r="T74" s="6" t="s">
        <v>57</v>
      </c>
      <c r="U74" s="6" t="s">
        <v>51</v>
      </c>
      <c r="V74" s="10" t="s">
        <v>53</v>
      </c>
      <c r="W74" s="51" t="s">
        <v>52</v>
      </c>
      <c r="X74" s="8" t="s">
        <v>54</v>
      </c>
    </row>
    <row r="75" spans="1:24" x14ac:dyDescent="0.45">
      <c r="A75" s="5">
        <v>74</v>
      </c>
      <c r="B75" s="6" t="s">
        <v>45</v>
      </c>
      <c r="C75" s="6" t="s">
        <v>83</v>
      </c>
      <c r="D75" s="6" t="s">
        <v>55</v>
      </c>
      <c r="E75" s="6" t="s">
        <v>21</v>
      </c>
      <c r="F75" s="6" t="s">
        <v>27</v>
      </c>
      <c r="G75" s="6" t="s">
        <v>142</v>
      </c>
      <c r="H75" s="6" t="s">
        <v>26</v>
      </c>
      <c r="I75" s="6" t="s">
        <v>144</v>
      </c>
      <c r="J75" s="6" t="s">
        <v>45</v>
      </c>
      <c r="K75" s="6" t="s">
        <v>57</v>
      </c>
      <c r="L75" s="6" t="s">
        <v>85</v>
      </c>
      <c r="M75" s="6" t="s">
        <v>97</v>
      </c>
      <c r="N75" s="7" t="s">
        <v>7</v>
      </c>
      <c r="O75" s="6" t="s">
        <v>77</v>
      </c>
      <c r="P75" s="6" t="s">
        <v>134</v>
      </c>
      <c r="Q75" s="6" t="s">
        <v>26</v>
      </c>
      <c r="R75" s="6" t="s">
        <v>184</v>
      </c>
      <c r="S75" s="6" t="s">
        <v>45</v>
      </c>
      <c r="T75" s="6" t="s">
        <v>57</v>
      </c>
      <c r="U75" s="6" t="s">
        <v>51</v>
      </c>
      <c r="V75" s="10" t="s">
        <v>53</v>
      </c>
      <c r="W75" s="51" t="s">
        <v>52</v>
      </c>
      <c r="X75" s="8" t="s">
        <v>54</v>
      </c>
    </row>
    <row r="76" spans="1:24" x14ac:dyDescent="0.45">
      <c r="A76" s="5">
        <v>75</v>
      </c>
      <c r="B76" s="6" t="s">
        <v>45</v>
      </c>
      <c r="C76" s="6" t="s">
        <v>83</v>
      </c>
      <c r="D76" s="6" t="s">
        <v>55</v>
      </c>
      <c r="E76" s="6" t="s">
        <v>21</v>
      </c>
      <c r="F76" s="6" t="s">
        <v>64</v>
      </c>
      <c r="G76" s="6" t="s">
        <v>135</v>
      </c>
      <c r="H76" s="6" t="s">
        <v>26</v>
      </c>
      <c r="I76" s="6" t="s">
        <v>186</v>
      </c>
      <c r="J76" s="6" t="s">
        <v>45</v>
      </c>
      <c r="K76" s="6" t="s">
        <v>57</v>
      </c>
      <c r="L76" s="6" t="s">
        <v>85</v>
      </c>
      <c r="M76" s="6" t="s">
        <v>97</v>
      </c>
      <c r="N76" s="7" t="s">
        <v>7</v>
      </c>
      <c r="O76" s="6" t="s">
        <v>77</v>
      </c>
      <c r="P76" s="6" t="s">
        <v>134</v>
      </c>
      <c r="Q76" s="6" t="s">
        <v>26</v>
      </c>
      <c r="R76" s="6" t="s">
        <v>184</v>
      </c>
      <c r="S76" s="6" t="s">
        <v>45</v>
      </c>
      <c r="T76" s="6" t="s">
        <v>57</v>
      </c>
      <c r="U76" s="6" t="s">
        <v>51</v>
      </c>
      <c r="V76" s="10" t="s">
        <v>53</v>
      </c>
      <c r="W76" s="51" t="s">
        <v>52</v>
      </c>
      <c r="X76" s="8" t="s">
        <v>54</v>
      </c>
    </row>
    <row r="77" spans="1:24" x14ac:dyDescent="0.45">
      <c r="A77" s="5">
        <v>76</v>
      </c>
      <c r="B77" s="6" t="s">
        <v>45</v>
      </c>
      <c r="C77" s="6" t="s">
        <v>83</v>
      </c>
      <c r="D77" s="6" t="s">
        <v>55</v>
      </c>
      <c r="E77" s="6" t="s">
        <v>21</v>
      </c>
      <c r="F77" s="6" t="s">
        <v>66</v>
      </c>
      <c r="G77" s="6" t="s">
        <v>136</v>
      </c>
      <c r="H77" s="6" t="s">
        <v>26</v>
      </c>
      <c r="I77" s="6" t="s">
        <v>188</v>
      </c>
      <c r="J77" s="6" t="s">
        <v>45</v>
      </c>
      <c r="K77" s="6" t="s">
        <v>57</v>
      </c>
      <c r="L77" s="6" t="s">
        <v>85</v>
      </c>
      <c r="M77" s="6" t="s">
        <v>97</v>
      </c>
      <c r="N77" s="7" t="s">
        <v>7</v>
      </c>
      <c r="O77" s="6" t="s">
        <v>77</v>
      </c>
      <c r="P77" s="6" t="s">
        <v>134</v>
      </c>
      <c r="Q77" s="6" t="s">
        <v>26</v>
      </c>
      <c r="R77" s="6" t="s">
        <v>184</v>
      </c>
      <c r="S77" s="6" t="s">
        <v>45</v>
      </c>
      <c r="T77" s="6" t="s">
        <v>57</v>
      </c>
      <c r="U77" s="6" t="s">
        <v>51</v>
      </c>
      <c r="V77" s="10" t="s">
        <v>53</v>
      </c>
      <c r="W77" s="51" t="s">
        <v>52</v>
      </c>
      <c r="X77" s="8" t="s">
        <v>54</v>
      </c>
    </row>
    <row r="78" spans="1:24" x14ac:dyDescent="0.45">
      <c r="A78" s="5">
        <v>77</v>
      </c>
      <c r="B78" s="6" t="s">
        <v>45</v>
      </c>
      <c r="C78" s="6" t="s">
        <v>83</v>
      </c>
      <c r="D78" s="6" t="s">
        <v>55</v>
      </c>
      <c r="E78" s="6" t="s">
        <v>21</v>
      </c>
      <c r="F78" s="6" t="s">
        <v>68</v>
      </c>
      <c r="G78" s="6" t="s">
        <v>137</v>
      </c>
      <c r="H78" s="6" t="s">
        <v>26</v>
      </c>
      <c r="I78" s="6" t="s">
        <v>190</v>
      </c>
      <c r="J78" s="6" t="s">
        <v>45</v>
      </c>
      <c r="K78" s="6" t="s">
        <v>57</v>
      </c>
      <c r="L78" s="6" t="s">
        <v>85</v>
      </c>
      <c r="M78" s="6" t="s">
        <v>97</v>
      </c>
      <c r="N78" s="7" t="s">
        <v>7</v>
      </c>
      <c r="O78" s="6" t="s">
        <v>77</v>
      </c>
      <c r="P78" s="6" t="s">
        <v>134</v>
      </c>
      <c r="Q78" s="6" t="s">
        <v>26</v>
      </c>
      <c r="R78" s="6" t="s">
        <v>184</v>
      </c>
      <c r="S78" s="6" t="s">
        <v>45</v>
      </c>
      <c r="T78" s="6" t="s">
        <v>57</v>
      </c>
      <c r="U78" s="6" t="s">
        <v>51</v>
      </c>
      <c r="V78" s="10" t="s">
        <v>53</v>
      </c>
      <c r="W78" s="51" t="s">
        <v>52</v>
      </c>
      <c r="X78" s="8" t="s">
        <v>54</v>
      </c>
    </row>
    <row r="79" spans="1:24" x14ac:dyDescent="0.45">
      <c r="A79" s="5">
        <v>78</v>
      </c>
      <c r="B79" s="6" t="s">
        <v>45</v>
      </c>
      <c r="C79" s="6" t="s">
        <v>83</v>
      </c>
      <c r="D79" s="6" t="s">
        <v>55</v>
      </c>
      <c r="E79" s="6" t="s">
        <v>21</v>
      </c>
      <c r="F79" s="6" t="s">
        <v>60</v>
      </c>
      <c r="G79" s="6" t="s">
        <v>178</v>
      </c>
      <c r="H79" s="6" t="s">
        <v>26</v>
      </c>
      <c r="I79" s="6" t="s">
        <v>192</v>
      </c>
      <c r="J79" s="6" t="s">
        <v>45</v>
      </c>
      <c r="K79" s="6" t="s">
        <v>57</v>
      </c>
      <c r="L79" s="6" t="s">
        <v>85</v>
      </c>
      <c r="M79" s="6" t="s">
        <v>202</v>
      </c>
      <c r="N79" s="7" t="s">
        <v>7</v>
      </c>
      <c r="O79" s="6" t="s">
        <v>77</v>
      </c>
      <c r="P79" s="6" t="s">
        <v>134</v>
      </c>
      <c r="Q79" s="6" t="s">
        <v>26</v>
      </c>
      <c r="R79" s="6" t="s">
        <v>184</v>
      </c>
      <c r="S79" s="6" t="s">
        <v>45</v>
      </c>
      <c r="T79" s="6" t="s">
        <v>57</v>
      </c>
      <c r="U79" s="6" t="s">
        <v>51</v>
      </c>
      <c r="V79" s="10" t="s">
        <v>53</v>
      </c>
      <c r="W79" s="51" t="s">
        <v>52</v>
      </c>
      <c r="X79" s="8" t="s">
        <v>54</v>
      </c>
    </row>
    <row r="80" spans="1:24" x14ac:dyDescent="0.45">
      <c r="A80" s="5">
        <v>79</v>
      </c>
      <c r="B80" s="6" t="s">
        <v>45</v>
      </c>
      <c r="C80" s="6" t="s">
        <v>83</v>
      </c>
      <c r="D80" s="6" t="s">
        <v>55</v>
      </c>
      <c r="E80" s="6" t="s">
        <v>21</v>
      </c>
      <c r="F80" s="6" t="s">
        <v>22</v>
      </c>
      <c r="G80" s="6" t="s">
        <v>179</v>
      </c>
      <c r="H80" s="6" t="s">
        <v>26</v>
      </c>
      <c r="I80" s="6" t="s">
        <v>194</v>
      </c>
      <c r="J80" s="6" t="s">
        <v>45</v>
      </c>
      <c r="K80" s="6" t="s">
        <v>57</v>
      </c>
      <c r="L80" s="6" t="s">
        <v>85</v>
      </c>
      <c r="M80" s="6" t="s">
        <v>202</v>
      </c>
      <c r="N80" s="7" t="s">
        <v>7</v>
      </c>
      <c r="O80" s="6" t="s">
        <v>77</v>
      </c>
      <c r="P80" s="6" t="s">
        <v>134</v>
      </c>
      <c r="Q80" s="6" t="s">
        <v>26</v>
      </c>
      <c r="R80" s="6" t="s">
        <v>184</v>
      </c>
      <c r="S80" s="6" t="s">
        <v>45</v>
      </c>
      <c r="T80" s="6" t="s">
        <v>57</v>
      </c>
      <c r="U80" s="6" t="s">
        <v>51</v>
      </c>
      <c r="V80" s="10" t="s">
        <v>53</v>
      </c>
      <c r="W80" s="51" t="s">
        <v>52</v>
      </c>
      <c r="X80" s="8" t="s">
        <v>54</v>
      </c>
    </row>
    <row r="81" spans="1:24" x14ac:dyDescent="0.45">
      <c r="A81" s="5">
        <v>80</v>
      </c>
      <c r="B81" s="6" t="s">
        <v>45</v>
      </c>
      <c r="C81" s="6" t="s">
        <v>83</v>
      </c>
      <c r="D81" s="6" t="s">
        <v>55</v>
      </c>
      <c r="E81" s="6" t="s">
        <v>21</v>
      </c>
      <c r="F81" s="6" t="s">
        <v>23</v>
      </c>
      <c r="G81" s="6" t="s">
        <v>180</v>
      </c>
      <c r="H81" s="6" t="s">
        <v>26</v>
      </c>
      <c r="I81" s="6" t="s">
        <v>196</v>
      </c>
      <c r="J81" s="6" t="s">
        <v>45</v>
      </c>
      <c r="K81" s="6" t="s">
        <v>57</v>
      </c>
      <c r="L81" s="6" t="s">
        <v>85</v>
      </c>
      <c r="M81" s="6" t="s">
        <v>202</v>
      </c>
      <c r="N81" s="7" t="s">
        <v>7</v>
      </c>
      <c r="O81" s="6" t="s">
        <v>77</v>
      </c>
      <c r="P81" s="6" t="s">
        <v>134</v>
      </c>
      <c r="Q81" s="6" t="s">
        <v>26</v>
      </c>
      <c r="R81" s="6" t="s">
        <v>184</v>
      </c>
      <c r="S81" s="6" t="s">
        <v>45</v>
      </c>
      <c r="T81" s="6" t="s">
        <v>57</v>
      </c>
      <c r="U81" s="6" t="s">
        <v>51</v>
      </c>
      <c r="V81" s="10" t="s">
        <v>53</v>
      </c>
      <c r="W81" s="51" t="s">
        <v>52</v>
      </c>
      <c r="X81" s="8" t="s">
        <v>54</v>
      </c>
    </row>
    <row r="82" spans="1:24" x14ac:dyDescent="0.45">
      <c r="A82" s="5">
        <v>81</v>
      </c>
      <c r="B82" s="6" t="s">
        <v>45</v>
      </c>
      <c r="C82" s="6" t="s">
        <v>83</v>
      </c>
      <c r="D82" s="6" t="s">
        <v>55</v>
      </c>
      <c r="E82" s="6" t="s">
        <v>21</v>
      </c>
      <c r="F82" s="6" t="s">
        <v>24</v>
      </c>
      <c r="G82" s="6" t="s">
        <v>181</v>
      </c>
      <c r="H82" s="6" t="s">
        <v>26</v>
      </c>
      <c r="I82" s="6" t="s">
        <v>198</v>
      </c>
      <c r="J82" s="6" t="s">
        <v>45</v>
      </c>
      <c r="K82" s="6" t="s">
        <v>57</v>
      </c>
      <c r="L82" s="6" t="s">
        <v>85</v>
      </c>
      <c r="M82" s="6" t="s">
        <v>202</v>
      </c>
      <c r="N82" s="7" t="s">
        <v>7</v>
      </c>
      <c r="O82" s="6" t="s">
        <v>77</v>
      </c>
      <c r="P82" s="6" t="s">
        <v>134</v>
      </c>
      <c r="Q82" s="6" t="s">
        <v>26</v>
      </c>
      <c r="R82" s="6" t="s">
        <v>184</v>
      </c>
      <c r="S82" s="6" t="s">
        <v>45</v>
      </c>
      <c r="T82" s="6" t="s">
        <v>57</v>
      </c>
      <c r="U82" s="6" t="s">
        <v>51</v>
      </c>
      <c r="V82" s="10" t="s">
        <v>53</v>
      </c>
      <c r="W82" s="51" t="s">
        <v>52</v>
      </c>
      <c r="X82" s="8" t="s">
        <v>54</v>
      </c>
    </row>
    <row r="83" spans="1:24" x14ac:dyDescent="0.45">
      <c r="A83" s="5">
        <v>82</v>
      </c>
      <c r="B83" s="6" t="s">
        <v>45</v>
      </c>
      <c r="C83" s="6" t="s">
        <v>82</v>
      </c>
      <c r="D83" s="6" t="s">
        <v>55</v>
      </c>
      <c r="E83" s="6" t="s">
        <v>76</v>
      </c>
      <c r="F83" s="6" t="s">
        <v>49</v>
      </c>
      <c r="G83" s="6" t="s">
        <v>142</v>
      </c>
      <c r="H83" s="6" t="s">
        <v>17</v>
      </c>
      <c r="I83" s="6" t="s">
        <v>145</v>
      </c>
      <c r="J83" s="6" t="s">
        <v>45</v>
      </c>
      <c r="K83" s="6" t="s">
        <v>57</v>
      </c>
      <c r="L83" s="6" t="s">
        <v>86</v>
      </c>
      <c r="M83" s="6" t="s">
        <v>261</v>
      </c>
      <c r="N83" s="7" t="s">
        <v>7</v>
      </c>
      <c r="O83" s="6" t="s">
        <v>78</v>
      </c>
      <c r="P83" s="6" t="s">
        <v>79</v>
      </c>
      <c r="Q83" s="6" t="s">
        <v>79</v>
      </c>
      <c r="R83" s="6" t="s">
        <v>81</v>
      </c>
      <c r="S83" s="6" t="s">
        <v>45</v>
      </c>
      <c r="T83" s="6" t="s">
        <v>57</v>
      </c>
      <c r="U83" s="6" t="s">
        <v>51</v>
      </c>
      <c r="V83" s="10" t="s">
        <v>53</v>
      </c>
      <c r="W83" s="11" t="s">
        <v>52</v>
      </c>
      <c r="X83" s="8" t="s">
        <v>54</v>
      </c>
    </row>
    <row r="84" spans="1:24" x14ac:dyDescent="0.45">
      <c r="A84" s="5">
        <v>83</v>
      </c>
      <c r="B84" s="6" t="s">
        <v>45</v>
      </c>
      <c r="C84" s="6" t="s">
        <v>82</v>
      </c>
      <c r="D84" s="6" t="s">
        <v>55</v>
      </c>
      <c r="E84" s="6" t="s">
        <v>76</v>
      </c>
      <c r="F84" s="6" t="s">
        <v>49</v>
      </c>
      <c r="G84" s="6" t="s">
        <v>134</v>
      </c>
      <c r="H84" s="6" t="s">
        <v>17</v>
      </c>
      <c r="I84" s="6" t="s">
        <v>185</v>
      </c>
      <c r="J84" s="6" t="s">
        <v>45</v>
      </c>
      <c r="K84" s="6" t="s">
        <v>57</v>
      </c>
      <c r="L84" s="6" t="s">
        <v>86</v>
      </c>
      <c r="M84" s="6" t="s">
        <v>261</v>
      </c>
      <c r="N84" s="7" t="s">
        <v>7</v>
      </c>
      <c r="O84" s="6" t="s">
        <v>78</v>
      </c>
      <c r="P84" s="6" t="s">
        <v>79</v>
      </c>
      <c r="Q84" s="6" t="s">
        <v>79</v>
      </c>
      <c r="R84" s="6" t="s">
        <v>81</v>
      </c>
      <c r="S84" s="6" t="s">
        <v>45</v>
      </c>
      <c r="T84" s="6" t="s">
        <v>57</v>
      </c>
      <c r="U84" s="6" t="s">
        <v>51</v>
      </c>
      <c r="V84" s="10" t="s">
        <v>53</v>
      </c>
      <c r="W84" s="11" t="s">
        <v>52</v>
      </c>
      <c r="X84" s="8" t="s">
        <v>54</v>
      </c>
    </row>
    <row r="85" spans="1:24" x14ac:dyDescent="0.45">
      <c r="A85" s="5">
        <v>84</v>
      </c>
      <c r="B85" s="6" t="s">
        <v>45</v>
      </c>
      <c r="C85" s="6" t="s">
        <v>82</v>
      </c>
      <c r="D85" s="6" t="s">
        <v>55</v>
      </c>
      <c r="E85" s="6" t="s">
        <v>76</v>
      </c>
      <c r="F85" s="6" t="s">
        <v>49</v>
      </c>
      <c r="G85" s="6" t="s">
        <v>135</v>
      </c>
      <c r="H85" s="6" t="s">
        <v>17</v>
      </c>
      <c r="I85" s="6" t="s">
        <v>187</v>
      </c>
      <c r="J85" s="6" t="s">
        <v>45</v>
      </c>
      <c r="K85" s="6" t="s">
        <v>57</v>
      </c>
      <c r="L85" s="6" t="s">
        <v>86</v>
      </c>
      <c r="M85" s="6" t="s">
        <v>261</v>
      </c>
      <c r="N85" s="7" t="s">
        <v>7</v>
      </c>
      <c r="O85" s="6" t="s">
        <v>78</v>
      </c>
      <c r="P85" s="6" t="s">
        <v>79</v>
      </c>
      <c r="Q85" s="6" t="s">
        <v>79</v>
      </c>
      <c r="R85" s="6" t="s">
        <v>81</v>
      </c>
      <c r="S85" s="6" t="s">
        <v>45</v>
      </c>
      <c r="T85" s="6" t="s">
        <v>57</v>
      </c>
      <c r="U85" s="6" t="s">
        <v>51</v>
      </c>
      <c r="V85" s="10" t="s">
        <v>53</v>
      </c>
      <c r="W85" s="11" t="s">
        <v>52</v>
      </c>
      <c r="X85" s="8" t="s">
        <v>54</v>
      </c>
    </row>
    <row r="86" spans="1:24" x14ac:dyDescent="0.45">
      <c r="A86" s="5">
        <v>85</v>
      </c>
      <c r="B86" s="6" t="s">
        <v>45</v>
      </c>
      <c r="C86" s="6" t="s">
        <v>82</v>
      </c>
      <c r="D86" s="6" t="s">
        <v>55</v>
      </c>
      <c r="E86" s="6" t="s">
        <v>76</v>
      </c>
      <c r="F86" s="6" t="s">
        <v>49</v>
      </c>
      <c r="G86" s="6" t="s">
        <v>136</v>
      </c>
      <c r="H86" s="6" t="s">
        <v>17</v>
      </c>
      <c r="I86" s="6" t="s">
        <v>189</v>
      </c>
      <c r="J86" s="6" t="s">
        <v>45</v>
      </c>
      <c r="K86" s="6" t="s">
        <v>57</v>
      </c>
      <c r="L86" s="6" t="s">
        <v>86</v>
      </c>
      <c r="M86" s="6" t="s">
        <v>261</v>
      </c>
      <c r="N86" s="7" t="s">
        <v>7</v>
      </c>
      <c r="O86" s="6" t="s">
        <v>78</v>
      </c>
      <c r="P86" s="6" t="s">
        <v>79</v>
      </c>
      <c r="Q86" s="6" t="s">
        <v>79</v>
      </c>
      <c r="R86" s="6" t="s">
        <v>81</v>
      </c>
      <c r="S86" s="6" t="s">
        <v>45</v>
      </c>
      <c r="T86" s="6" t="s">
        <v>57</v>
      </c>
      <c r="U86" s="6" t="s">
        <v>51</v>
      </c>
      <c r="V86" s="10" t="s">
        <v>53</v>
      </c>
      <c r="W86" s="11" t="s">
        <v>52</v>
      </c>
      <c r="X86" s="8" t="s">
        <v>54</v>
      </c>
    </row>
    <row r="87" spans="1:24" x14ac:dyDescent="0.45">
      <c r="A87" s="5">
        <v>86</v>
      </c>
      <c r="B87" s="6" t="s">
        <v>45</v>
      </c>
      <c r="C87" s="6" t="s">
        <v>82</v>
      </c>
      <c r="D87" s="6" t="s">
        <v>55</v>
      </c>
      <c r="E87" s="6" t="s">
        <v>76</v>
      </c>
      <c r="F87" s="6" t="s">
        <v>49</v>
      </c>
      <c r="G87" s="6" t="s">
        <v>137</v>
      </c>
      <c r="H87" s="6" t="s">
        <v>17</v>
      </c>
      <c r="I87" s="6" t="s">
        <v>191</v>
      </c>
      <c r="J87" s="6" t="s">
        <v>45</v>
      </c>
      <c r="K87" s="6" t="s">
        <v>57</v>
      </c>
      <c r="L87" s="6" t="s">
        <v>86</v>
      </c>
      <c r="M87" s="6" t="s">
        <v>261</v>
      </c>
      <c r="N87" s="7" t="s">
        <v>7</v>
      </c>
      <c r="O87" s="6" t="s">
        <v>78</v>
      </c>
      <c r="P87" s="6" t="s">
        <v>79</v>
      </c>
      <c r="Q87" s="6" t="s">
        <v>79</v>
      </c>
      <c r="R87" s="6" t="s">
        <v>81</v>
      </c>
      <c r="S87" s="6" t="s">
        <v>45</v>
      </c>
      <c r="T87" s="6" t="s">
        <v>57</v>
      </c>
      <c r="U87" s="6" t="s">
        <v>51</v>
      </c>
      <c r="V87" s="10" t="s">
        <v>53</v>
      </c>
      <c r="W87" s="11" t="s">
        <v>52</v>
      </c>
      <c r="X87" s="8" t="s">
        <v>54</v>
      </c>
    </row>
    <row r="88" spans="1:24" x14ac:dyDescent="0.45">
      <c r="A88" s="5">
        <v>87</v>
      </c>
      <c r="B88" s="6" t="s">
        <v>45</v>
      </c>
      <c r="C88" s="6" t="s">
        <v>82</v>
      </c>
      <c r="D88" s="6" t="s">
        <v>55</v>
      </c>
      <c r="E88" s="6" t="s">
        <v>76</v>
      </c>
      <c r="F88" s="6" t="s">
        <v>49</v>
      </c>
      <c r="G88" s="6" t="s">
        <v>178</v>
      </c>
      <c r="H88" s="6" t="s">
        <v>17</v>
      </c>
      <c r="I88" s="6" t="s">
        <v>193</v>
      </c>
      <c r="J88" s="6" t="s">
        <v>45</v>
      </c>
      <c r="K88" s="6" t="s">
        <v>57</v>
      </c>
      <c r="L88" s="6" t="s">
        <v>86</v>
      </c>
      <c r="M88" s="6" t="s">
        <v>261</v>
      </c>
      <c r="N88" s="7" t="s">
        <v>7</v>
      </c>
      <c r="O88" s="6" t="s">
        <v>78</v>
      </c>
      <c r="P88" s="6" t="s">
        <v>79</v>
      </c>
      <c r="Q88" s="6" t="s">
        <v>79</v>
      </c>
      <c r="R88" s="6" t="s">
        <v>81</v>
      </c>
      <c r="S88" s="6" t="s">
        <v>45</v>
      </c>
      <c r="T88" s="6" t="s">
        <v>57</v>
      </c>
      <c r="U88" s="6" t="s">
        <v>51</v>
      </c>
      <c r="V88" s="10" t="s">
        <v>53</v>
      </c>
      <c r="W88" s="11" t="s">
        <v>52</v>
      </c>
      <c r="X88" s="8" t="s">
        <v>54</v>
      </c>
    </row>
    <row r="89" spans="1:24" x14ac:dyDescent="0.45">
      <c r="A89" s="5">
        <v>88</v>
      </c>
      <c r="B89" s="6" t="s">
        <v>45</v>
      </c>
      <c r="C89" s="6" t="s">
        <v>82</v>
      </c>
      <c r="D89" s="6" t="s">
        <v>55</v>
      </c>
      <c r="E89" s="6" t="s">
        <v>76</v>
      </c>
      <c r="F89" s="6" t="s">
        <v>49</v>
      </c>
      <c r="G89" s="6" t="s">
        <v>179</v>
      </c>
      <c r="H89" s="6" t="s">
        <v>17</v>
      </c>
      <c r="I89" s="6" t="s">
        <v>195</v>
      </c>
      <c r="J89" s="6" t="s">
        <v>45</v>
      </c>
      <c r="K89" s="6" t="s">
        <v>57</v>
      </c>
      <c r="L89" s="6" t="s">
        <v>86</v>
      </c>
      <c r="M89" s="6" t="s">
        <v>261</v>
      </c>
      <c r="N89" s="7" t="s">
        <v>7</v>
      </c>
      <c r="O89" s="6" t="s">
        <v>78</v>
      </c>
      <c r="P89" s="6" t="s">
        <v>79</v>
      </c>
      <c r="Q89" s="6" t="s">
        <v>79</v>
      </c>
      <c r="R89" s="6" t="s">
        <v>81</v>
      </c>
      <c r="S89" s="6" t="s">
        <v>45</v>
      </c>
      <c r="T89" s="6" t="s">
        <v>57</v>
      </c>
      <c r="U89" s="6" t="s">
        <v>51</v>
      </c>
      <c r="V89" s="10" t="s">
        <v>53</v>
      </c>
      <c r="W89" s="11" t="s">
        <v>52</v>
      </c>
      <c r="X89" s="8" t="s">
        <v>54</v>
      </c>
    </row>
    <row r="90" spans="1:24" x14ac:dyDescent="0.45">
      <c r="A90" s="5">
        <v>89</v>
      </c>
      <c r="B90" s="6" t="s">
        <v>45</v>
      </c>
      <c r="C90" s="6" t="s">
        <v>82</v>
      </c>
      <c r="D90" s="6" t="s">
        <v>55</v>
      </c>
      <c r="E90" s="6" t="s">
        <v>76</v>
      </c>
      <c r="F90" s="6" t="s">
        <v>49</v>
      </c>
      <c r="G90" s="6" t="s">
        <v>180</v>
      </c>
      <c r="H90" s="6" t="s">
        <v>17</v>
      </c>
      <c r="I90" s="6" t="s">
        <v>197</v>
      </c>
      <c r="J90" s="6" t="s">
        <v>45</v>
      </c>
      <c r="K90" s="6" t="s">
        <v>57</v>
      </c>
      <c r="L90" s="6" t="s">
        <v>86</v>
      </c>
      <c r="M90" s="6" t="s">
        <v>261</v>
      </c>
      <c r="N90" s="7" t="s">
        <v>7</v>
      </c>
      <c r="O90" s="6" t="s">
        <v>78</v>
      </c>
      <c r="P90" s="6" t="s">
        <v>79</v>
      </c>
      <c r="Q90" s="6" t="s">
        <v>79</v>
      </c>
      <c r="R90" s="6" t="s">
        <v>81</v>
      </c>
      <c r="S90" s="6" t="s">
        <v>45</v>
      </c>
      <c r="T90" s="6" t="s">
        <v>57</v>
      </c>
      <c r="U90" s="6" t="s">
        <v>51</v>
      </c>
      <c r="V90" s="10" t="s">
        <v>53</v>
      </c>
      <c r="W90" s="11" t="s">
        <v>52</v>
      </c>
      <c r="X90" s="8" t="s">
        <v>54</v>
      </c>
    </row>
    <row r="91" spans="1:24" x14ac:dyDescent="0.45">
      <c r="A91" s="5">
        <v>90</v>
      </c>
      <c r="B91" s="6" t="s">
        <v>45</v>
      </c>
      <c r="C91" s="6" t="s">
        <v>82</v>
      </c>
      <c r="D91" s="6" t="s">
        <v>55</v>
      </c>
      <c r="E91" s="6" t="s">
        <v>76</v>
      </c>
      <c r="F91" s="6" t="s">
        <v>49</v>
      </c>
      <c r="G91" s="6" t="s">
        <v>181</v>
      </c>
      <c r="H91" s="6" t="s">
        <v>17</v>
      </c>
      <c r="I91" s="6" t="s">
        <v>199</v>
      </c>
      <c r="J91" s="6" t="s">
        <v>45</v>
      </c>
      <c r="K91" s="6" t="s">
        <v>57</v>
      </c>
      <c r="L91" s="6" t="s">
        <v>86</v>
      </c>
      <c r="M91" s="6" t="s">
        <v>261</v>
      </c>
      <c r="N91" s="7" t="s">
        <v>7</v>
      </c>
      <c r="O91" s="6" t="s">
        <v>78</v>
      </c>
      <c r="P91" s="6" t="s">
        <v>79</v>
      </c>
      <c r="Q91" s="6" t="s">
        <v>79</v>
      </c>
      <c r="R91" s="6" t="s">
        <v>81</v>
      </c>
      <c r="S91" s="6" t="s">
        <v>45</v>
      </c>
      <c r="T91" s="6" t="s">
        <v>57</v>
      </c>
      <c r="U91" s="6" t="s">
        <v>51</v>
      </c>
      <c r="V91" s="10" t="s">
        <v>53</v>
      </c>
      <c r="W91" s="11" t="s">
        <v>52</v>
      </c>
      <c r="X91" s="8" t="s">
        <v>54</v>
      </c>
    </row>
    <row r="92" spans="1:24" x14ac:dyDescent="0.45">
      <c r="A92" s="17">
        <v>91</v>
      </c>
      <c r="B92" s="18" t="s">
        <v>45</v>
      </c>
      <c r="C92" s="18" t="s">
        <v>83</v>
      </c>
      <c r="D92" s="18" t="s">
        <v>55</v>
      </c>
      <c r="E92" s="18" t="s">
        <v>90</v>
      </c>
      <c r="F92" s="18" t="s">
        <v>78</v>
      </c>
      <c r="G92" s="18" t="s">
        <v>79</v>
      </c>
      <c r="H92" s="18" t="s">
        <v>79</v>
      </c>
      <c r="I92" s="18" t="s">
        <v>80</v>
      </c>
      <c r="J92" s="18" t="s">
        <v>45</v>
      </c>
      <c r="K92" s="18" t="s">
        <v>57</v>
      </c>
      <c r="L92" s="18" t="s">
        <v>86</v>
      </c>
      <c r="M92" s="18" t="s">
        <v>261</v>
      </c>
      <c r="N92" s="19" t="s">
        <v>7</v>
      </c>
      <c r="O92" s="18" t="s">
        <v>77</v>
      </c>
      <c r="P92" s="18" t="s">
        <v>142</v>
      </c>
      <c r="Q92" s="18" t="s">
        <v>26</v>
      </c>
      <c r="R92" s="18" t="s">
        <v>144</v>
      </c>
      <c r="S92" s="18" t="s">
        <v>45</v>
      </c>
      <c r="T92" s="18" t="s">
        <v>57</v>
      </c>
      <c r="U92" s="18" t="s">
        <v>51</v>
      </c>
      <c r="V92" s="20" t="s">
        <v>53</v>
      </c>
      <c r="W92" s="25" t="s">
        <v>52</v>
      </c>
      <c r="X92" s="21" t="s">
        <v>54</v>
      </c>
    </row>
    <row r="93" spans="1:24" x14ac:dyDescent="0.45">
      <c r="A93" s="17">
        <v>92</v>
      </c>
      <c r="B93" s="18" t="s">
        <v>45</v>
      </c>
      <c r="C93" s="18" t="s">
        <v>83</v>
      </c>
      <c r="D93" s="18" t="s">
        <v>55</v>
      </c>
      <c r="E93" s="18" t="s">
        <v>90</v>
      </c>
      <c r="F93" s="18" t="s">
        <v>78</v>
      </c>
      <c r="G93" s="18" t="s">
        <v>79</v>
      </c>
      <c r="H93" s="18" t="s">
        <v>79</v>
      </c>
      <c r="I93" s="18" t="s">
        <v>80</v>
      </c>
      <c r="J93" s="18" t="s">
        <v>45</v>
      </c>
      <c r="K93" s="18" t="s">
        <v>57</v>
      </c>
      <c r="L93" s="18" t="s">
        <v>86</v>
      </c>
      <c r="M93" s="18" t="s">
        <v>261</v>
      </c>
      <c r="N93" s="19" t="s">
        <v>7</v>
      </c>
      <c r="O93" s="18" t="s">
        <v>77</v>
      </c>
      <c r="P93" s="18" t="s">
        <v>134</v>
      </c>
      <c r="Q93" s="18" t="s">
        <v>26</v>
      </c>
      <c r="R93" s="18" t="s">
        <v>184</v>
      </c>
      <c r="S93" s="18" t="s">
        <v>45</v>
      </c>
      <c r="T93" s="18" t="s">
        <v>57</v>
      </c>
      <c r="U93" s="18" t="s">
        <v>51</v>
      </c>
      <c r="V93" s="20" t="s">
        <v>53</v>
      </c>
      <c r="W93" s="25" t="s">
        <v>52</v>
      </c>
      <c r="X93" s="21" t="s">
        <v>54</v>
      </c>
    </row>
    <row r="94" spans="1:24" x14ac:dyDescent="0.45">
      <c r="A94" s="17">
        <v>93</v>
      </c>
      <c r="B94" s="18" t="s">
        <v>45</v>
      </c>
      <c r="C94" s="18" t="s">
        <v>83</v>
      </c>
      <c r="D94" s="18" t="s">
        <v>55</v>
      </c>
      <c r="E94" s="18" t="s">
        <v>90</v>
      </c>
      <c r="F94" s="18" t="s">
        <v>78</v>
      </c>
      <c r="G94" s="18" t="s">
        <v>79</v>
      </c>
      <c r="H94" s="18" t="s">
        <v>79</v>
      </c>
      <c r="I94" s="18" t="s">
        <v>80</v>
      </c>
      <c r="J94" s="18" t="s">
        <v>45</v>
      </c>
      <c r="K94" s="18" t="s">
        <v>57</v>
      </c>
      <c r="L94" s="18" t="s">
        <v>86</v>
      </c>
      <c r="M94" s="18" t="s">
        <v>261</v>
      </c>
      <c r="N94" s="19" t="s">
        <v>7</v>
      </c>
      <c r="O94" s="18" t="s">
        <v>77</v>
      </c>
      <c r="P94" s="18" t="s">
        <v>135</v>
      </c>
      <c r="Q94" s="18" t="s">
        <v>26</v>
      </c>
      <c r="R94" s="18" t="s">
        <v>186</v>
      </c>
      <c r="S94" s="18" t="s">
        <v>45</v>
      </c>
      <c r="T94" s="18" t="s">
        <v>57</v>
      </c>
      <c r="U94" s="18" t="s">
        <v>51</v>
      </c>
      <c r="V94" s="20" t="s">
        <v>53</v>
      </c>
      <c r="W94" s="25" t="s">
        <v>52</v>
      </c>
      <c r="X94" s="21" t="s">
        <v>54</v>
      </c>
    </row>
    <row r="95" spans="1:24" x14ac:dyDescent="0.45">
      <c r="A95" s="17">
        <v>94</v>
      </c>
      <c r="B95" s="18" t="s">
        <v>45</v>
      </c>
      <c r="C95" s="18" t="s">
        <v>83</v>
      </c>
      <c r="D95" s="18" t="s">
        <v>55</v>
      </c>
      <c r="E95" s="18" t="s">
        <v>90</v>
      </c>
      <c r="F95" s="18" t="s">
        <v>78</v>
      </c>
      <c r="G95" s="18" t="s">
        <v>79</v>
      </c>
      <c r="H95" s="18" t="s">
        <v>79</v>
      </c>
      <c r="I95" s="18" t="s">
        <v>80</v>
      </c>
      <c r="J95" s="18" t="s">
        <v>45</v>
      </c>
      <c r="K95" s="18" t="s">
        <v>57</v>
      </c>
      <c r="L95" s="18" t="s">
        <v>86</v>
      </c>
      <c r="M95" s="18" t="s">
        <v>261</v>
      </c>
      <c r="N95" s="19" t="s">
        <v>7</v>
      </c>
      <c r="O95" s="18" t="s">
        <v>77</v>
      </c>
      <c r="P95" s="18" t="s">
        <v>136</v>
      </c>
      <c r="Q95" s="18" t="s">
        <v>26</v>
      </c>
      <c r="R95" s="18" t="s">
        <v>188</v>
      </c>
      <c r="S95" s="18" t="s">
        <v>45</v>
      </c>
      <c r="T95" s="18" t="s">
        <v>57</v>
      </c>
      <c r="U95" s="18" t="s">
        <v>51</v>
      </c>
      <c r="V95" s="20" t="s">
        <v>53</v>
      </c>
      <c r="W95" s="25" t="s">
        <v>52</v>
      </c>
      <c r="X95" s="21" t="s">
        <v>54</v>
      </c>
    </row>
    <row r="96" spans="1:24" x14ac:dyDescent="0.45">
      <c r="A96" s="17">
        <v>95</v>
      </c>
      <c r="B96" s="18" t="s">
        <v>45</v>
      </c>
      <c r="C96" s="18" t="s">
        <v>83</v>
      </c>
      <c r="D96" s="18" t="s">
        <v>55</v>
      </c>
      <c r="E96" s="18" t="s">
        <v>90</v>
      </c>
      <c r="F96" s="18" t="s">
        <v>78</v>
      </c>
      <c r="G96" s="18" t="s">
        <v>79</v>
      </c>
      <c r="H96" s="18" t="s">
        <v>79</v>
      </c>
      <c r="I96" s="18" t="s">
        <v>80</v>
      </c>
      <c r="J96" s="18" t="s">
        <v>45</v>
      </c>
      <c r="K96" s="18" t="s">
        <v>57</v>
      </c>
      <c r="L96" s="18" t="s">
        <v>86</v>
      </c>
      <c r="M96" s="18" t="s">
        <v>261</v>
      </c>
      <c r="N96" s="19" t="s">
        <v>7</v>
      </c>
      <c r="O96" s="18" t="s">
        <v>77</v>
      </c>
      <c r="P96" s="18" t="s">
        <v>137</v>
      </c>
      <c r="Q96" s="18" t="s">
        <v>26</v>
      </c>
      <c r="R96" s="18" t="s">
        <v>190</v>
      </c>
      <c r="S96" s="18" t="s">
        <v>45</v>
      </c>
      <c r="T96" s="18" t="s">
        <v>57</v>
      </c>
      <c r="U96" s="18" t="s">
        <v>51</v>
      </c>
      <c r="V96" s="20" t="s">
        <v>53</v>
      </c>
      <c r="W96" s="25" t="s">
        <v>52</v>
      </c>
      <c r="X96" s="21" t="s">
        <v>54</v>
      </c>
    </row>
    <row r="97" spans="1:24" x14ac:dyDescent="0.45">
      <c r="A97" s="17">
        <v>96</v>
      </c>
      <c r="B97" s="18" t="s">
        <v>45</v>
      </c>
      <c r="C97" s="18" t="s">
        <v>83</v>
      </c>
      <c r="D97" s="18" t="s">
        <v>55</v>
      </c>
      <c r="E97" s="18" t="s">
        <v>90</v>
      </c>
      <c r="F97" s="18" t="s">
        <v>78</v>
      </c>
      <c r="G97" s="18" t="s">
        <v>79</v>
      </c>
      <c r="H97" s="18" t="s">
        <v>79</v>
      </c>
      <c r="I97" s="18" t="s">
        <v>80</v>
      </c>
      <c r="J97" s="18" t="s">
        <v>45</v>
      </c>
      <c r="K97" s="18" t="s">
        <v>57</v>
      </c>
      <c r="L97" s="18" t="s">
        <v>86</v>
      </c>
      <c r="M97" s="18" t="s">
        <v>261</v>
      </c>
      <c r="N97" s="19" t="s">
        <v>7</v>
      </c>
      <c r="O97" s="18" t="s">
        <v>77</v>
      </c>
      <c r="P97" s="18" t="s">
        <v>178</v>
      </c>
      <c r="Q97" s="18" t="s">
        <v>26</v>
      </c>
      <c r="R97" s="18" t="s">
        <v>192</v>
      </c>
      <c r="S97" s="18" t="s">
        <v>45</v>
      </c>
      <c r="T97" s="18" t="s">
        <v>57</v>
      </c>
      <c r="U97" s="18" t="s">
        <v>51</v>
      </c>
      <c r="V97" s="20" t="s">
        <v>53</v>
      </c>
      <c r="W97" s="25" t="s">
        <v>52</v>
      </c>
      <c r="X97" s="21" t="s">
        <v>54</v>
      </c>
    </row>
    <row r="98" spans="1:24" x14ac:dyDescent="0.45">
      <c r="A98" s="17">
        <v>97</v>
      </c>
      <c r="B98" s="18" t="s">
        <v>45</v>
      </c>
      <c r="C98" s="18" t="s">
        <v>83</v>
      </c>
      <c r="D98" s="18" t="s">
        <v>55</v>
      </c>
      <c r="E98" s="18" t="s">
        <v>90</v>
      </c>
      <c r="F98" s="18" t="s">
        <v>78</v>
      </c>
      <c r="G98" s="18" t="s">
        <v>79</v>
      </c>
      <c r="H98" s="18" t="s">
        <v>79</v>
      </c>
      <c r="I98" s="18" t="s">
        <v>80</v>
      </c>
      <c r="J98" s="18" t="s">
        <v>45</v>
      </c>
      <c r="K98" s="18" t="s">
        <v>57</v>
      </c>
      <c r="L98" s="18" t="s">
        <v>86</v>
      </c>
      <c r="M98" s="18" t="s">
        <v>261</v>
      </c>
      <c r="N98" s="19" t="s">
        <v>7</v>
      </c>
      <c r="O98" s="18" t="s">
        <v>77</v>
      </c>
      <c r="P98" s="18" t="s">
        <v>179</v>
      </c>
      <c r="Q98" s="18" t="s">
        <v>26</v>
      </c>
      <c r="R98" s="18" t="s">
        <v>194</v>
      </c>
      <c r="S98" s="18" t="s">
        <v>45</v>
      </c>
      <c r="T98" s="18" t="s">
        <v>57</v>
      </c>
      <c r="U98" s="18" t="s">
        <v>51</v>
      </c>
      <c r="V98" s="20" t="s">
        <v>53</v>
      </c>
      <c r="W98" s="25" t="s">
        <v>52</v>
      </c>
      <c r="X98" s="21" t="s">
        <v>54</v>
      </c>
    </row>
    <row r="99" spans="1:24" x14ac:dyDescent="0.45">
      <c r="A99" s="17">
        <v>98</v>
      </c>
      <c r="B99" s="18" t="s">
        <v>45</v>
      </c>
      <c r="C99" s="18" t="s">
        <v>83</v>
      </c>
      <c r="D99" s="18" t="s">
        <v>55</v>
      </c>
      <c r="E99" s="18" t="s">
        <v>90</v>
      </c>
      <c r="F99" s="18" t="s">
        <v>78</v>
      </c>
      <c r="G99" s="18" t="s">
        <v>79</v>
      </c>
      <c r="H99" s="18" t="s">
        <v>79</v>
      </c>
      <c r="I99" s="18" t="s">
        <v>80</v>
      </c>
      <c r="J99" s="18" t="s">
        <v>45</v>
      </c>
      <c r="K99" s="18" t="s">
        <v>57</v>
      </c>
      <c r="L99" s="18" t="s">
        <v>86</v>
      </c>
      <c r="M99" s="18" t="s">
        <v>261</v>
      </c>
      <c r="N99" s="19" t="s">
        <v>7</v>
      </c>
      <c r="O99" s="18" t="s">
        <v>77</v>
      </c>
      <c r="P99" s="18" t="s">
        <v>180</v>
      </c>
      <c r="Q99" s="18" t="s">
        <v>26</v>
      </c>
      <c r="R99" s="18" t="s">
        <v>196</v>
      </c>
      <c r="S99" s="18" t="s">
        <v>45</v>
      </c>
      <c r="T99" s="18" t="s">
        <v>57</v>
      </c>
      <c r="U99" s="18" t="s">
        <v>51</v>
      </c>
      <c r="V99" s="20" t="s">
        <v>53</v>
      </c>
      <c r="W99" s="25" t="s">
        <v>52</v>
      </c>
      <c r="X99" s="21" t="s">
        <v>54</v>
      </c>
    </row>
    <row r="100" spans="1:24" ht="16.5" thickBot="1" x14ac:dyDescent="0.5">
      <c r="A100" s="26">
        <v>99</v>
      </c>
      <c r="B100" s="27" t="s">
        <v>45</v>
      </c>
      <c r="C100" s="27" t="s">
        <v>83</v>
      </c>
      <c r="D100" s="27" t="s">
        <v>55</v>
      </c>
      <c r="E100" s="27" t="s">
        <v>90</v>
      </c>
      <c r="F100" s="27" t="s">
        <v>78</v>
      </c>
      <c r="G100" s="27" t="s">
        <v>79</v>
      </c>
      <c r="H100" s="27" t="s">
        <v>79</v>
      </c>
      <c r="I100" s="27" t="s">
        <v>80</v>
      </c>
      <c r="J100" s="27" t="s">
        <v>45</v>
      </c>
      <c r="K100" s="27" t="s">
        <v>57</v>
      </c>
      <c r="L100" s="27" t="s">
        <v>86</v>
      </c>
      <c r="M100" s="27" t="s">
        <v>261</v>
      </c>
      <c r="N100" s="28" t="s">
        <v>7</v>
      </c>
      <c r="O100" s="27" t="s">
        <v>77</v>
      </c>
      <c r="P100" s="27" t="s">
        <v>181</v>
      </c>
      <c r="Q100" s="27" t="s">
        <v>26</v>
      </c>
      <c r="R100" s="27" t="s">
        <v>198</v>
      </c>
      <c r="S100" s="27" t="s">
        <v>45</v>
      </c>
      <c r="T100" s="27" t="s">
        <v>57</v>
      </c>
      <c r="U100" s="27" t="s">
        <v>51</v>
      </c>
      <c r="V100" s="29" t="s">
        <v>53</v>
      </c>
      <c r="W100" s="30" t="s">
        <v>52</v>
      </c>
      <c r="X100" s="31" t="s">
        <v>54</v>
      </c>
    </row>
  </sheetData>
  <autoFilter ref="A1:X73" xr:uid="{76FAD4E8-248B-4F88-9643-D48F7B9D0230}"/>
  <phoneticPr fontId="1"/>
  <conditionalFormatting sqref="I15:I17">
    <cfRule type="expression" dxfId="20" priority="1">
      <formula>$G15="使用予定"</formula>
    </cfRule>
    <cfRule type="expression" dxfId="19" priority="2">
      <formula>$G15="未使用"</formula>
    </cfRule>
  </conditionalFormatting>
  <hyperlinks>
    <hyperlink ref="W70" location="ICMP!A1" display="通信確認済み(「ICMP」シート参照)" xr:uid="{50ABC64C-FCF6-4F63-A775-6697CB849EA4}"/>
    <hyperlink ref="W71:W73" location="ICMP!A1" display="通信確認済み(「ICMP」シート参照)" xr:uid="{286B961D-FE9B-4182-8C82-FB76DA8773A0}"/>
    <hyperlink ref="W65" location="ICMP!A1" display="通信確認済み(「ICMP」シート参照)" xr:uid="{B20198A6-C635-4969-A8E2-258EBC349C55}"/>
    <hyperlink ref="W67:W69" location="ICMP!A1" display="通信確認済み(「ICMP」シート参照)" xr:uid="{5FB13C36-2686-4F9C-B0B3-8C636C57068F}"/>
    <hyperlink ref="W66" location="ICMP!A1" display="通信確認済み(「ICMP」シート参照)" xr:uid="{B963D0D1-45CF-4B2A-8F0F-F6348193E7F2}"/>
    <hyperlink ref="W79" location="ICMP!A1" display="通信確認済み(「ICMP」シート参照)" xr:uid="{4F87160A-F16A-4A07-B55F-C6111508BCA6}"/>
    <hyperlink ref="W80:W82" location="ICMP!A1" display="通信確認済み(「ICMP」シート参照)" xr:uid="{0B67E5D2-FD30-4C00-ABDA-EAC8F8570560}"/>
    <hyperlink ref="W74" location="ICMP!A1" display="通信確認済み(「ICMP」シート参照)" xr:uid="{480BC1BB-8A1A-4D55-80A1-631DF7066BC0}"/>
    <hyperlink ref="W76:W78" location="ICMP!A1" display="通信確認済み(「ICMP」シート参照)" xr:uid="{49DB9E08-30EF-4CEA-8C61-73E3D3490641}"/>
    <hyperlink ref="W75" location="ICMP!A1" display="通信確認済み(「ICMP」シート参照)" xr:uid="{2C99CF95-6FF6-4473-99DB-E5C9E2ACDE61}"/>
    <hyperlink ref="W88" location="ICMP!A1" display="通信確認済み(「ICMP」シート参照)" xr:uid="{BDF63897-599F-4B00-BBAB-D5F271F2A830}"/>
    <hyperlink ref="W89:W91" location="ICMP!A1" display="通信確認済み(「ICMP」シート参照)" xr:uid="{479A745B-C5F1-48A3-9AB8-F931FD1FEB79}"/>
    <hyperlink ref="W83" location="ICMP!A1" display="通信確認済み(「ICMP」シート参照)" xr:uid="{441B1501-CFE3-4E38-B233-03F9BDED2A4E}"/>
    <hyperlink ref="W85:W87" location="ICMP!A1" display="通信確認済み(「ICMP」シート参照)" xr:uid="{3680A5D5-357C-485D-B97D-7B5F48EA4694}"/>
    <hyperlink ref="W84" location="ICMP!A1" display="通信確認済み(「ICMP」シート参照)" xr:uid="{9B07DE79-88F7-4467-8CA9-309F76240C62}"/>
    <hyperlink ref="W97" location="ICMP!A1" display="通信確認済み(「ICMP」シート参照)" xr:uid="{A9B0CE8E-FF93-4EEA-A0C3-AD1F8D1976D4}"/>
    <hyperlink ref="W98:W100" location="ICMP!A1" display="通信確認済み(「ICMP」シート参照)" xr:uid="{1346B3D0-B367-4372-A6A9-6DDE62FCA197}"/>
    <hyperlink ref="W92" location="ICMP!A1" display="通信確認済み(「ICMP」シート参照)" xr:uid="{5DD9A586-1021-4B16-87CA-ED145EF04992}"/>
    <hyperlink ref="W94:W96" location="ICMP!A1" display="通信確認済み(「ICMP」シート参照)" xr:uid="{C4EE52E8-410E-4BEA-B419-C0CC3D0DB0A2}"/>
    <hyperlink ref="W93" location="ICMP!A1" display="通信確認済み(「ICMP」シート参照)" xr:uid="{B1916144-AD0A-433D-9703-2EF9DD28C905}"/>
    <hyperlink ref="W2" location="DHCP!A1" display="通信確認済み(「DHCP」シート参照)" xr:uid="{5E9B4ADA-3ABD-40F8-9A5C-7F9A67106EDC}"/>
    <hyperlink ref="W3:W9" location="DHCP!A1" display="通信確認済み(「DHCP」シート参照)" xr:uid="{61FF68C8-2ABD-41DE-ADC5-3DDC712E8BFF}"/>
    <hyperlink ref="W10" location="NTP!A1" display="通信確認済み(「NTP」シート参照)" xr:uid="{6E1FDA2A-2F01-4280-80BB-5675AD0E1333}"/>
    <hyperlink ref="W28" location="rsyslog!A1" display="通信確認済み(「rsyslog」シート参照)" xr:uid="{24E3F133-701E-4998-B04D-91F6EA692C36}"/>
    <hyperlink ref="W29:W36" location="rsyslog!A1" display="通信確認済み(「rsyslog」シート参照)" xr:uid="{3439E3B7-9A08-4D9C-8C5D-3B88DF398CEB}"/>
    <hyperlink ref="W37" location="DNS!A1" display="通信確認済み(「DNS」シート参照)" xr:uid="{44CDB5EA-6564-40AD-BE24-76D7C0BA97D4}"/>
    <hyperlink ref="W38:W56" location="DNS!A1" display="通信確認済み(「DNS」シート参照)" xr:uid="{28EDF3E3-F7A9-4B46-BD9C-19EA64E72FEF}"/>
    <hyperlink ref="W57:W60" location="LB!A1" display="通信確認済み(「LB」シート参照)" xr:uid="{110B7946-4368-4C75-AA34-707C95115C97}"/>
    <hyperlink ref="W61:W62" location="AP!A1" display="通信確認済み(「AP」シート参照)" xr:uid="{7D0BF4C2-9D6F-4159-8DCF-9D43FC0B007C}"/>
    <hyperlink ref="W63:W64" location="DB!A1" display="通信確認済み(「DB」シート参照)" xr:uid="{177724BF-FDAA-4C13-BE71-50470451FE3B}"/>
    <hyperlink ref="W65:W100" location="ICMP!A1" display="通信確認済み(「ICMP」シート参照)" xr:uid="{FEB42C5E-C2C0-4777-A5D2-243485F56429}"/>
  </hyperlinks>
  <pageMargins left="0.7" right="0.7" top="0.75" bottom="0.75" header="0.3" footer="0.3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CEC3-057E-44DE-B7D7-C8F8BFE9B9CE}">
  <dimension ref="A1:L214"/>
  <sheetViews>
    <sheetView view="pageBreakPreview" zoomScale="70" zoomScaleNormal="100" zoomScaleSheetLayoutView="70" workbookViewId="0"/>
  </sheetViews>
  <sheetFormatPr defaultRowHeight="15.75" x14ac:dyDescent="0.45"/>
  <cols>
    <col min="1" max="1" width="18.88671875" style="4" customWidth="1"/>
    <col min="2" max="2" width="8.33203125" style="4" bestFit="1" customWidth="1"/>
    <col min="3" max="3" width="24.21875" style="4" customWidth="1"/>
    <col min="4" max="4" width="16" style="4" bestFit="1" customWidth="1"/>
    <col min="5" max="5" width="12.21875" style="4" bestFit="1" customWidth="1"/>
    <col min="6" max="6" width="18.33203125" style="4" bestFit="1" customWidth="1"/>
    <col min="7" max="7" width="8.21875" style="4" bestFit="1" customWidth="1"/>
    <col min="8" max="8" width="24.5546875" style="4" bestFit="1" customWidth="1"/>
    <col min="9" max="9" width="12.77734375" style="4" bestFit="1" customWidth="1"/>
    <col min="10" max="10" width="17.109375" style="4" bestFit="1" customWidth="1"/>
    <col min="11" max="11" width="17.5546875" style="4" bestFit="1" customWidth="1"/>
    <col min="12" max="12" width="10.88671875" style="4" bestFit="1" customWidth="1"/>
    <col min="13" max="16384" width="8.88671875" style="4"/>
  </cols>
  <sheetData>
    <row r="1" spans="1:12" ht="18.75" x14ac:dyDescent="0.45">
      <c r="A1" s="22" t="s">
        <v>56</v>
      </c>
    </row>
    <row r="2" spans="1:12" x14ac:dyDescent="0.45">
      <c r="A2" s="12" t="s">
        <v>93</v>
      </c>
    </row>
    <row r="3" spans="1:12" x14ac:dyDescent="0.45">
      <c r="A3" s="12" t="s">
        <v>398</v>
      </c>
    </row>
    <row r="4" spans="1:12" x14ac:dyDescent="0.45">
      <c r="A4" s="12" t="s">
        <v>399</v>
      </c>
    </row>
    <row r="5" spans="1:12" x14ac:dyDescent="0.45">
      <c r="A5" s="68" t="s">
        <v>297</v>
      </c>
      <c r="B5" s="68" t="s">
        <v>92</v>
      </c>
      <c r="C5" s="68" t="s">
        <v>91</v>
      </c>
      <c r="D5" s="68" t="s">
        <v>30</v>
      </c>
      <c r="E5" s="68" t="s">
        <v>31</v>
      </c>
      <c r="F5" s="68" t="s">
        <v>122</v>
      </c>
      <c r="G5" s="68" t="s">
        <v>33</v>
      </c>
      <c r="H5" s="68" t="s">
        <v>123</v>
      </c>
      <c r="I5" s="68" t="s">
        <v>124</v>
      </c>
      <c r="J5" s="68" t="s">
        <v>125</v>
      </c>
      <c r="K5" s="68" t="s">
        <v>126</v>
      </c>
      <c r="L5" s="68" t="s">
        <v>34</v>
      </c>
    </row>
    <row r="6" spans="1:12" x14ac:dyDescent="0.45">
      <c r="A6" s="39" t="s">
        <v>298</v>
      </c>
      <c r="B6" s="39" t="str">
        <f>IF(J6="Request","行き",IF(J6="Reply","返り",""))</f>
        <v>行き</v>
      </c>
      <c r="C6" s="39" t="s">
        <v>305</v>
      </c>
      <c r="D6" s="39" t="str" cm="1">
        <f t="array" ref="D6">TRIM(INDEX(_xlfn.TEXTSPLIT(C6, " "), 1))</f>
        <v>06:08:24.454091</v>
      </c>
      <c r="E6" s="39" t="str" cm="1">
        <f t="array" ref="E6">TRIM(INDEX(_xlfn.TEXTSPLIT(C6, " "), 2))</f>
        <v>IP</v>
      </c>
      <c r="F6" s="67" t="str" cm="1">
        <f t="array" ref="F6">TRIM(INDEX(_xlfn.TEXTSPLIT(C6, " "), 3))</f>
        <v>0.0.0.0.bootpc</v>
      </c>
      <c r="G6" s="67" t="str" cm="1">
        <f t="array" ref="G6">TRIM(INDEX(_xlfn.TEXTSPLIT(C6, " "), 4))</f>
        <v>&gt;</v>
      </c>
      <c r="H6" s="67" t="str" cm="1">
        <f t="array" ref="H6">_xlfn.LET(
    _xlpm.v, TRIM(INDEX(_xlfn.TEXTSPLIT(C6, " "), 5)),
    IF(RIGHT(_xlpm.v,1)=":", LEFT(_xlpm.v, LEN(_xlpm.v)-1), _xlpm.v)
)</f>
        <v>255.255.255.255.bootps</v>
      </c>
      <c r="I6" s="39" t="str">
        <f>TRIM(MID(C6, FIND("BOOTP/DHCP", C6), 10))</f>
        <v>BOOTP/DHCP</v>
      </c>
      <c r="J6" s="39" t="str">
        <f t="shared" ref="J6:J13" si="0">TRIM(
    IF(ISNUMBER(FIND("Request", C6)), "Request",
    IF(ISNUMBER(FIND("Reply", C6)), "Reply",
    ""))
)</f>
        <v>Request</v>
      </c>
      <c r="K6" s="39" t="str">
        <f>IF(ISNUMBER(FIND("from", C6)),
    TRIM(MID(C6, FIND("from", C6) + 5, 17)),
    "記載無し"
)</f>
        <v>08:00:27:85:23:1c</v>
      </c>
      <c r="L6" s="39" t="str">
        <f>TRIM(MID(C6, FIND("length ", C6), LEN(C6) - FIND("length ", C6) + 1))</f>
        <v>length 293</v>
      </c>
    </row>
    <row r="7" spans="1:12" x14ac:dyDescent="0.45">
      <c r="A7" s="39" t="s">
        <v>299</v>
      </c>
      <c r="B7" s="39" t="str">
        <f t="shared" ref="B7:B13" si="1">IF(J7="Request","行き",IF(J7="Reply","返り",""))</f>
        <v>返り</v>
      </c>
      <c r="C7" s="39" t="s">
        <v>288</v>
      </c>
      <c r="D7" s="39" t="str" cm="1">
        <f t="array" ref="D7">TRIM(INDEX(_xlfn.TEXTSPLIT(C7, " "), 1))</f>
        <v>06:08:24.543735</v>
      </c>
      <c r="E7" s="39" t="str" cm="1">
        <f t="array" ref="E7">TRIM(INDEX(_xlfn.TEXTSPLIT(C7, " "), 2))</f>
        <v>IP</v>
      </c>
      <c r="F7" s="67" t="str" cm="1">
        <f t="array" ref="F7">TRIM(INDEX(_xlfn.TEXTSPLIT(C7, " "), 3))</f>
        <v>192.168.100.27.bootps</v>
      </c>
      <c r="G7" s="67" t="str" cm="1">
        <f t="array" ref="G7">TRIM(INDEX(_xlfn.TEXTSPLIT(C7, " "), 4))</f>
        <v>&gt;</v>
      </c>
      <c r="H7" s="67" t="str" cm="1">
        <f t="array" ref="H7">_xlfn.LET(
    _xlpm.v, TRIM(INDEX(_xlfn.TEXTSPLIT(C7, " "), 5)),
    IF(RIGHT(_xlpm.v,1)=":", LEFT(_xlpm.v, LEN(_xlpm.v)-1), _xlpm.v)
)</f>
        <v>192.168.100.28.bootpc</v>
      </c>
      <c r="I7" s="39" t="str">
        <f t="shared" ref="I7:I13" si="2">TRIM(MID(C7, FIND("BOOTP/DHCP", C7), 10))</f>
        <v>BOOTP/DHCP</v>
      </c>
      <c r="J7" s="39" t="str">
        <f t="shared" si="0"/>
        <v>Reply</v>
      </c>
      <c r="K7" s="39" t="str">
        <f t="shared" ref="K7:K13" si="3">IF(ISNUMBER(FIND("from", C7)),
    TRIM(MID(C7, FIND("from", C7) + 5, 17)),
    "記載無し"
)</f>
        <v>記載無し</v>
      </c>
      <c r="L7" s="39" t="str">
        <f t="shared" ref="L7:L13" si="4">TRIM(MID(C7, FIND("length ", C7), LEN(C7) - FIND("length ", C7) + 1))</f>
        <v>length 301</v>
      </c>
    </row>
    <row r="8" spans="1:12" x14ac:dyDescent="0.45">
      <c r="A8" s="39" t="s">
        <v>300</v>
      </c>
      <c r="B8" s="39" t="str">
        <f t="shared" si="1"/>
        <v>行き</v>
      </c>
      <c r="C8" s="39" t="s">
        <v>289</v>
      </c>
      <c r="D8" s="39" t="str" cm="1">
        <f t="array" ref="D8">TRIM(INDEX(_xlfn.TEXTSPLIT(C8, " "), 1))</f>
        <v>06:16:06.788900</v>
      </c>
      <c r="E8" s="39" t="str" cm="1">
        <f t="array" ref="E8">TRIM(INDEX(_xlfn.TEXTSPLIT(C8, " "), 2))</f>
        <v>IP</v>
      </c>
      <c r="F8" s="67" t="str" cm="1">
        <f t="array" ref="F8">TRIM(INDEX(_xlfn.TEXTSPLIT(C8, " "), 3))</f>
        <v>0.0.0.0.bootpc</v>
      </c>
      <c r="G8" s="67" t="str" cm="1">
        <f t="array" ref="G8">TRIM(INDEX(_xlfn.TEXTSPLIT(C8, " "), 4))</f>
        <v>&gt;</v>
      </c>
      <c r="H8" s="67" t="str" cm="1">
        <f t="array" ref="H8">_xlfn.LET(
    _xlpm.v, TRIM(INDEX(_xlfn.TEXTSPLIT(C8, " "), 5)),
    IF(RIGHT(_xlpm.v,1)=":", LEFT(_xlpm.v, LEN(_xlpm.v)-1), _xlpm.v)
)</f>
        <v>255.255.255.255.bootps</v>
      </c>
      <c r="I8" s="39" t="str">
        <f t="shared" si="2"/>
        <v>BOOTP/DHCP</v>
      </c>
      <c r="J8" s="39" t="str">
        <f t="shared" si="0"/>
        <v>Request</v>
      </c>
      <c r="K8" s="39" t="str">
        <f t="shared" si="3"/>
        <v>08:00:27:1c:57:0a</v>
      </c>
      <c r="L8" s="39" t="str">
        <f t="shared" si="4"/>
        <v>length 292</v>
      </c>
    </row>
    <row r="9" spans="1:12" x14ac:dyDescent="0.45">
      <c r="A9" s="39" t="s">
        <v>303</v>
      </c>
      <c r="B9" s="39" t="str">
        <f t="shared" si="1"/>
        <v>返り</v>
      </c>
      <c r="C9" s="39" t="s">
        <v>290</v>
      </c>
      <c r="D9" s="39" t="str" cm="1">
        <f t="array" ref="D9">TRIM(INDEX(_xlfn.TEXTSPLIT(C9, " "), 1))</f>
        <v>06:16:06.790794</v>
      </c>
      <c r="E9" s="39" t="str" cm="1">
        <f t="array" ref="E9">TRIM(INDEX(_xlfn.TEXTSPLIT(C9, " "), 2))</f>
        <v>IP</v>
      </c>
      <c r="F9" s="67" t="str" cm="1">
        <f t="array" ref="F9">TRIM(INDEX(_xlfn.TEXTSPLIT(C9, " "), 3))</f>
        <v>192.168.100.27.bootps</v>
      </c>
      <c r="G9" s="67" t="str" cm="1">
        <f t="array" ref="G9">TRIM(INDEX(_xlfn.TEXTSPLIT(C9, " "), 4))</f>
        <v>&gt;</v>
      </c>
      <c r="H9" s="67" t="str" cm="1">
        <f t="array" ref="H9">_xlfn.LET(
    _xlpm.v, TRIM(INDEX(_xlfn.TEXTSPLIT(C9, " "), 5)),
    IF(RIGHT(_xlpm.v,1)=":", LEFT(_xlpm.v, LEN(_xlpm.v)-1), _xlpm.v)
)</f>
        <v>192.168.100.29.bootpc</v>
      </c>
      <c r="I9" s="39" t="str">
        <f t="shared" si="2"/>
        <v>BOOTP/DHCP</v>
      </c>
      <c r="J9" s="39" t="str">
        <f t="shared" si="0"/>
        <v>Reply</v>
      </c>
      <c r="K9" s="39" t="str">
        <f t="shared" si="3"/>
        <v>記載無し</v>
      </c>
      <c r="L9" s="39" t="str">
        <f t="shared" si="4"/>
        <v>length 300</v>
      </c>
    </row>
    <row r="10" spans="1:12" x14ac:dyDescent="0.45">
      <c r="A10" s="39" t="s">
        <v>301</v>
      </c>
      <c r="B10" s="39" t="str">
        <f t="shared" si="1"/>
        <v>行き</v>
      </c>
      <c r="C10" s="39" t="s">
        <v>291</v>
      </c>
      <c r="D10" s="39" t="str" cm="1">
        <f t="array" ref="D10">TRIM(INDEX(_xlfn.TEXTSPLIT(C10, " "), 1))</f>
        <v>06:17:21.614557</v>
      </c>
      <c r="E10" s="39" t="str" cm="1">
        <f t="array" ref="E10">TRIM(INDEX(_xlfn.TEXTSPLIT(C10, " "), 2))</f>
        <v>IP</v>
      </c>
      <c r="F10" s="67" t="str" cm="1">
        <f t="array" ref="F10">TRIM(INDEX(_xlfn.TEXTSPLIT(C10, " "), 3))</f>
        <v>0.0.0.0.bootpc</v>
      </c>
      <c r="G10" s="67" t="str" cm="1">
        <f t="array" ref="G10">TRIM(INDEX(_xlfn.TEXTSPLIT(C10, " "), 4))</f>
        <v>&gt;</v>
      </c>
      <c r="H10" s="67" t="str" cm="1">
        <f t="array" ref="H10">_xlfn.LET(
    _xlpm.v, TRIM(INDEX(_xlfn.TEXTSPLIT(C10, " "), 5)),
    IF(RIGHT(_xlpm.v,1)=":", LEFT(_xlpm.v, LEN(_xlpm.v)-1), _xlpm.v)
)</f>
        <v>255.255.255.255.bootps</v>
      </c>
      <c r="I10" s="39" t="str">
        <f t="shared" si="2"/>
        <v>BOOTP/DHCP</v>
      </c>
      <c r="J10" s="39" t="str">
        <f t="shared" si="0"/>
        <v>Request</v>
      </c>
      <c r="K10" s="39" t="str">
        <f t="shared" si="3"/>
        <v>08:00:27:49:8e:e1</v>
      </c>
      <c r="L10" s="39" t="str">
        <f t="shared" si="4"/>
        <v>length 292</v>
      </c>
    </row>
    <row r="11" spans="1:12" x14ac:dyDescent="0.45">
      <c r="A11" s="39" t="s">
        <v>304</v>
      </c>
      <c r="B11" s="39" t="str">
        <f t="shared" si="1"/>
        <v>返り</v>
      </c>
      <c r="C11" s="39" t="s">
        <v>292</v>
      </c>
      <c r="D11" s="39" t="str" cm="1">
        <f t="array" ref="D11">TRIM(INDEX(_xlfn.TEXTSPLIT(C11, " "), 1))</f>
        <v>06:17:21.616885</v>
      </c>
      <c r="E11" s="39" t="str" cm="1">
        <f t="array" ref="E11">TRIM(INDEX(_xlfn.TEXTSPLIT(C11, " "), 2))</f>
        <v>IP</v>
      </c>
      <c r="F11" s="67" t="str" cm="1">
        <f t="array" ref="F11">TRIM(INDEX(_xlfn.TEXTSPLIT(C11, " "), 3))</f>
        <v>192.168.100.27.bootps</v>
      </c>
      <c r="G11" s="67" t="str" cm="1">
        <f t="array" ref="G11">TRIM(INDEX(_xlfn.TEXTSPLIT(C11, " "), 4))</f>
        <v>&gt;</v>
      </c>
      <c r="H11" s="67" t="str" cm="1">
        <f t="array" ref="H11">_xlfn.LET(
    _xlpm.v, TRIM(INDEX(_xlfn.TEXTSPLIT(C11, " "), 5)),
    IF(RIGHT(_xlpm.v,1)=":", LEFT(_xlpm.v, LEN(_xlpm.v)-1), _xlpm.v)
)</f>
        <v>192.168.100.30.bootpc</v>
      </c>
      <c r="I11" s="39" t="str">
        <f t="shared" si="2"/>
        <v>BOOTP/DHCP</v>
      </c>
      <c r="J11" s="39" t="str">
        <f t="shared" si="0"/>
        <v>Reply</v>
      </c>
      <c r="K11" s="39" t="str">
        <f t="shared" si="3"/>
        <v>記載無し</v>
      </c>
      <c r="L11" s="39" t="str">
        <f t="shared" si="4"/>
        <v>length 300</v>
      </c>
    </row>
    <row r="12" spans="1:12" x14ac:dyDescent="0.45">
      <c r="A12" s="39" t="s">
        <v>302</v>
      </c>
      <c r="B12" s="39" t="str">
        <f t="shared" si="1"/>
        <v>行き</v>
      </c>
      <c r="C12" s="39" t="s">
        <v>293</v>
      </c>
      <c r="D12" s="39" t="str" cm="1">
        <f t="array" ref="D12">TRIM(INDEX(_xlfn.TEXTSPLIT(C12, " "), 1))</f>
        <v>06:18:20.847507</v>
      </c>
      <c r="E12" s="39" t="str" cm="1">
        <f t="array" ref="E12">TRIM(INDEX(_xlfn.TEXTSPLIT(C12, " "), 2))</f>
        <v>IP</v>
      </c>
      <c r="F12" s="67" t="str" cm="1">
        <f t="array" ref="F12">TRIM(INDEX(_xlfn.TEXTSPLIT(C12, " "), 3))</f>
        <v>0.0.0.0.bootpc</v>
      </c>
      <c r="G12" s="67" t="str" cm="1">
        <f t="array" ref="G12">TRIM(INDEX(_xlfn.TEXTSPLIT(C12, " "), 4))</f>
        <v>&gt;</v>
      </c>
      <c r="H12" s="67" t="str" cm="1">
        <f t="array" ref="H12">_xlfn.LET(
    _xlpm.v, TRIM(INDEX(_xlfn.TEXTSPLIT(C12, " "), 5)),
    IF(RIGHT(_xlpm.v,1)=":", LEFT(_xlpm.v, LEN(_xlpm.v)-1), _xlpm.v)
)</f>
        <v>255.255.255.255.bootps</v>
      </c>
      <c r="I12" s="39" t="str">
        <f t="shared" si="2"/>
        <v>BOOTP/DHCP</v>
      </c>
      <c r="J12" s="39" t="str">
        <f t="shared" si="0"/>
        <v>Request</v>
      </c>
      <c r="K12" s="39" t="str">
        <f t="shared" si="3"/>
        <v>08:00:27:f6:88:de</v>
      </c>
      <c r="L12" s="39" t="str">
        <f t="shared" si="4"/>
        <v>length 295</v>
      </c>
    </row>
    <row r="13" spans="1:12" x14ac:dyDescent="0.45">
      <c r="A13" s="39" t="s">
        <v>299</v>
      </c>
      <c r="B13" s="39" t="str">
        <f t="shared" si="1"/>
        <v>返り</v>
      </c>
      <c r="C13" s="39" t="s">
        <v>294</v>
      </c>
      <c r="D13" s="39" t="str" cm="1">
        <f t="array" ref="D13">TRIM(INDEX(_xlfn.TEXTSPLIT(C13, " "), 1))</f>
        <v>06:18:20.849455</v>
      </c>
      <c r="E13" s="39" t="str" cm="1">
        <f t="array" ref="E13">TRIM(INDEX(_xlfn.TEXTSPLIT(C13, " "), 2))</f>
        <v>IP</v>
      </c>
      <c r="F13" s="67" t="str" cm="1">
        <f t="array" ref="F13">TRIM(INDEX(_xlfn.TEXTSPLIT(C13, " "), 3))</f>
        <v>192.168.100.27.bootps</v>
      </c>
      <c r="G13" s="67" t="str" cm="1">
        <f t="array" ref="G13">TRIM(INDEX(_xlfn.TEXTSPLIT(C13, " "), 4))</f>
        <v>&gt;</v>
      </c>
      <c r="H13" s="67" t="str" cm="1">
        <f t="array" ref="H13">_xlfn.LET(
    _xlpm.v, TRIM(INDEX(_xlfn.TEXTSPLIT(C13, " "), 5)),
    IF(RIGHT(_xlpm.v,1)=":", LEFT(_xlpm.v, LEN(_xlpm.v)-1), _xlpm.v)
)</f>
        <v>192.168.100.31.bootpc</v>
      </c>
      <c r="I13" s="39" t="str">
        <f t="shared" si="2"/>
        <v>BOOTP/DHCP</v>
      </c>
      <c r="J13" s="39" t="str">
        <f t="shared" si="0"/>
        <v>Reply</v>
      </c>
      <c r="K13" s="39" t="str">
        <f t="shared" si="3"/>
        <v>記載無し</v>
      </c>
      <c r="L13" s="39" t="str">
        <f t="shared" si="4"/>
        <v>length 303</v>
      </c>
    </row>
    <row r="14" spans="1:12" x14ac:dyDescent="0.45">
      <c r="A14" s="4" t="s">
        <v>127</v>
      </c>
    </row>
    <row r="15" spans="1:12" x14ac:dyDescent="0.45">
      <c r="A15" s="4" t="s">
        <v>128</v>
      </c>
    </row>
    <row r="16" spans="1:12" x14ac:dyDescent="0.45">
      <c r="A16" s="4" t="s">
        <v>129</v>
      </c>
    </row>
    <row r="17" spans="1:1" x14ac:dyDescent="0.45">
      <c r="A17" s="4" t="s">
        <v>270</v>
      </c>
    </row>
    <row r="19" spans="1:1" x14ac:dyDescent="0.45">
      <c r="A19" s="12" t="s">
        <v>263</v>
      </c>
    </row>
    <row r="20" spans="1:1" x14ac:dyDescent="0.45">
      <c r="A20" s="4" t="s">
        <v>285</v>
      </c>
    </row>
    <row r="21" spans="1:1" x14ac:dyDescent="0.45">
      <c r="A21" s="4" t="s">
        <v>286</v>
      </c>
    </row>
    <row r="22" spans="1:1" x14ac:dyDescent="0.45">
      <c r="A22" s="4" t="s">
        <v>35</v>
      </c>
    </row>
    <row r="23" spans="1:1" x14ac:dyDescent="0.45">
      <c r="A23" s="4" t="s">
        <v>36</v>
      </c>
    </row>
    <row r="24" spans="1:1" x14ac:dyDescent="0.45">
      <c r="A24" s="4" t="s">
        <v>32</v>
      </c>
    </row>
    <row r="25" spans="1:1" x14ac:dyDescent="0.45">
      <c r="A25" s="23" t="s">
        <v>287</v>
      </c>
    </row>
    <row r="26" spans="1:1" x14ac:dyDescent="0.45">
      <c r="A26" s="23" t="s">
        <v>288</v>
      </c>
    </row>
    <row r="27" spans="1:1" x14ac:dyDescent="0.45">
      <c r="A27" s="23" t="s">
        <v>289</v>
      </c>
    </row>
    <row r="28" spans="1:1" x14ac:dyDescent="0.45">
      <c r="A28" s="23" t="s">
        <v>290</v>
      </c>
    </row>
    <row r="29" spans="1:1" x14ac:dyDescent="0.45">
      <c r="A29" s="23" t="s">
        <v>291</v>
      </c>
    </row>
    <row r="30" spans="1:1" x14ac:dyDescent="0.45">
      <c r="A30" s="23" t="s">
        <v>292</v>
      </c>
    </row>
    <row r="31" spans="1:1" x14ac:dyDescent="0.45">
      <c r="A31" s="23" t="s">
        <v>293</v>
      </c>
    </row>
    <row r="32" spans="1:1" x14ac:dyDescent="0.45">
      <c r="A32" s="23" t="s">
        <v>294</v>
      </c>
    </row>
    <row r="33" spans="1:1" x14ac:dyDescent="0.45">
      <c r="A33" s="4" t="s">
        <v>295</v>
      </c>
    </row>
    <row r="35" spans="1:1" x14ac:dyDescent="0.45">
      <c r="A35" s="4" t="s">
        <v>156</v>
      </c>
    </row>
    <row r="36" spans="1:1" x14ac:dyDescent="0.45">
      <c r="A36" s="4" t="s">
        <v>87</v>
      </c>
    </row>
    <row r="37" spans="1:1" x14ac:dyDescent="0.45">
      <c r="A37" s="4" t="s">
        <v>38</v>
      </c>
    </row>
    <row r="38" spans="1:1" x14ac:dyDescent="0.45">
      <c r="A38" s="4" t="s">
        <v>296</v>
      </c>
    </row>
    <row r="40" spans="1:1" x14ac:dyDescent="0.45">
      <c r="A40" s="12" t="s">
        <v>262</v>
      </c>
    </row>
    <row r="41" spans="1:1" x14ac:dyDescent="0.45">
      <c r="A41" s="4" t="s">
        <v>269</v>
      </c>
    </row>
    <row r="42" spans="1:1" x14ac:dyDescent="0.45">
      <c r="A42" s="4" t="s">
        <v>268</v>
      </c>
    </row>
    <row r="43" spans="1:1" x14ac:dyDescent="0.45">
      <c r="A43" s="4" t="s">
        <v>264</v>
      </c>
    </row>
    <row r="44" spans="1:1" x14ac:dyDescent="0.45">
      <c r="A44" s="4" t="s">
        <v>265</v>
      </c>
    </row>
    <row r="45" spans="1:1" x14ac:dyDescent="0.45">
      <c r="A45" s="4" t="s">
        <v>265</v>
      </c>
    </row>
    <row r="46" spans="1:1" x14ac:dyDescent="0.45">
      <c r="A46" s="4" t="s">
        <v>266</v>
      </c>
    </row>
    <row r="47" spans="1:1" x14ac:dyDescent="0.45">
      <c r="A47" s="4" t="s">
        <v>267</v>
      </c>
    </row>
    <row r="48" spans="1:1" x14ac:dyDescent="0.45">
      <c r="A48" s="4" t="s">
        <v>265</v>
      </c>
    </row>
    <row r="49" spans="1:1" x14ac:dyDescent="0.45">
      <c r="A49" s="4" t="s">
        <v>265</v>
      </c>
    </row>
    <row r="51" spans="1:1" x14ac:dyDescent="0.45">
      <c r="A51" s="4" t="s">
        <v>276</v>
      </c>
    </row>
    <row r="52" spans="1:1" x14ac:dyDescent="0.45">
      <c r="A52" s="4" t="s">
        <v>271</v>
      </c>
    </row>
    <row r="53" spans="1:1" x14ac:dyDescent="0.45">
      <c r="A53" s="4" t="s">
        <v>272</v>
      </c>
    </row>
    <row r="54" spans="1:1" x14ac:dyDescent="0.45">
      <c r="A54" s="4" t="s">
        <v>273</v>
      </c>
    </row>
    <row r="55" spans="1:1" x14ac:dyDescent="0.45">
      <c r="A55" s="4" t="s">
        <v>273</v>
      </c>
    </row>
    <row r="56" spans="1:1" x14ac:dyDescent="0.45">
      <c r="A56" s="4" t="s">
        <v>274</v>
      </c>
    </row>
    <row r="57" spans="1:1" x14ac:dyDescent="0.45">
      <c r="A57" s="4" t="s">
        <v>275</v>
      </c>
    </row>
    <row r="58" spans="1:1" x14ac:dyDescent="0.45">
      <c r="A58" s="4" t="s">
        <v>273</v>
      </c>
    </row>
    <row r="60" spans="1:1" x14ac:dyDescent="0.45">
      <c r="A60" s="4" t="s">
        <v>280</v>
      </c>
    </row>
    <row r="61" spans="1:1" x14ac:dyDescent="0.45">
      <c r="A61" s="4" t="s">
        <v>277</v>
      </c>
    </row>
    <row r="62" spans="1:1" x14ac:dyDescent="0.45">
      <c r="A62" s="4" t="s">
        <v>272</v>
      </c>
    </row>
    <row r="63" spans="1:1" x14ac:dyDescent="0.45">
      <c r="A63" s="4" t="s">
        <v>278</v>
      </c>
    </row>
    <row r="64" spans="1:1" x14ac:dyDescent="0.45">
      <c r="A64" s="4" t="s">
        <v>278</v>
      </c>
    </row>
    <row r="65" spans="1:1" x14ac:dyDescent="0.45">
      <c r="A65" s="4" t="s">
        <v>279</v>
      </c>
    </row>
    <row r="66" spans="1:1" x14ac:dyDescent="0.45">
      <c r="A66" s="4" t="s">
        <v>275</v>
      </c>
    </row>
    <row r="67" spans="1:1" x14ac:dyDescent="0.45">
      <c r="A67" s="4" t="s">
        <v>278</v>
      </c>
    </row>
    <row r="69" spans="1:1" x14ac:dyDescent="0.45">
      <c r="A69" s="4" t="s">
        <v>284</v>
      </c>
    </row>
    <row r="70" spans="1:1" x14ac:dyDescent="0.45">
      <c r="A70" s="4" t="s">
        <v>283</v>
      </c>
    </row>
    <row r="71" spans="1:1" x14ac:dyDescent="0.45">
      <c r="A71" s="4" t="s">
        <v>272</v>
      </c>
    </row>
    <row r="72" spans="1:1" x14ac:dyDescent="0.45">
      <c r="A72" s="4" t="s">
        <v>281</v>
      </c>
    </row>
    <row r="73" spans="1:1" x14ac:dyDescent="0.45">
      <c r="A73" s="4" t="s">
        <v>281</v>
      </c>
    </row>
    <row r="74" spans="1:1" x14ac:dyDescent="0.45">
      <c r="A74" s="4" t="s">
        <v>282</v>
      </c>
    </row>
    <row r="75" spans="1:1" x14ac:dyDescent="0.45">
      <c r="A75" s="4" t="s">
        <v>275</v>
      </c>
    </row>
    <row r="76" spans="1:1" x14ac:dyDescent="0.45">
      <c r="A76" s="4" t="s">
        <v>281</v>
      </c>
    </row>
    <row r="87" spans="1:1" x14ac:dyDescent="0.45">
      <c r="A87" s="12"/>
    </row>
    <row r="151" spans="1:1" x14ac:dyDescent="0.45">
      <c r="A151" s="12"/>
    </row>
    <row r="214" spans="1:1" x14ac:dyDescent="0.45">
      <c r="A214" s="12"/>
    </row>
  </sheetData>
  <phoneticPr fontId="1"/>
  <conditionalFormatting sqref="A5:C13">
    <cfRule type="expression" dxfId="18" priority="3">
      <formula>$B5="返り"</formula>
    </cfRule>
    <cfRule type="expression" dxfId="17" priority="4">
      <formula>$B5="行き"</formula>
    </cfRule>
  </conditionalFormatting>
  <conditionalFormatting sqref="D6:L13">
    <cfRule type="expression" dxfId="16" priority="1">
      <formula>$B6="返り"</formula>
    </cfRule>
    <cfRule type="expression" dxfId="15" priority="2">
      <formula>$B6="行き"</formula>
    </cfRule>
  </conditionalFormatting>
  <hyperlinks>
    <hyperlink ref="A1" location="通信要件一覧!A1" display="※「通信要件一覧」シートに戻る" xr:uid="{6200A9A6-0824-4C67-9B3B-02D92EA46A79}"/>
  </hyperlinks>
  <pageMargins left="0.7" right="0.7" top="0.75" bottom="0.75" header="0.3" footer="0.3"/>
  <pageSetup paperSize="9" scale="2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8379-71E3-4643-A07F-B19E030F3245}">
  <dimension ref="A1:K105"/>
  <sheetViews>
    <sheetView view="pageBreakPreview" zoomScale="85" zoomScaleNormal="100" zoomScaleSheetLayoutView="85" workbookViewId="0"/>
  </sheetViews>
  <sheetFormatPr defaultRowHeight="15.75" x14ac:dyDescent="0.45"/>
  <cols>
    <col min="1" max="1" width="23" style="4" customWidth="1"/>
    <col min="2" max="2" width="11.21875" style="4" bestFit="1" customWidth="1"/>
    <col min="3" max="3" width="72.6640625" style="4" customWidth="1"/>
    <col min="4" max="4" width="16" style="4" bestFit="1" customWidth="1"/>
    <col min="5" max="5" width="12.109375" style="4" bestFit="1" customWidth="1"/>
    <col min="6" max="6" width="21.33203125" style="4" customWidth="1"/>
    <col min="7" max="7" width="8.21875" style="4" bestFit="1" customWidth="1"/>
    <col min="8" max="8" width="22.6640625" style="4" bestFit="1" customWidth="1"/>
    <col min="9" max="9" width="12.109375" style="4" bestFit="1" customWidth="1"/>
    <col min="10" max="10" width="8.88671875" style="4"/>
    <col min="11" max="11" width="10.88671875" style="4" bestFit="1" customWidth="1"/>
    <col min="12" max="16384" width="8.88671875" style="4"/>
  </cols>
  <sheetData>
    <row r="1" spans="1:11" s="9" customFormat="1" x14ac:dyDescent="0.45">
      <c r="A1" s="9" t="s">
        <v>56</v>
      </c>
    </row>
    <row r="2" spans="1:11" x14ac:dyDescent="0.45">
      <c r="A2" s="12" t="s">
        <v>93</v>
      </c>
    </row>
    <row r="3" spans="1:11" x14ac:dyDescent="0.45">
      <c r="A3" s="12" t="s">
        <v>398</v>
      </c>
    </row>
    <row r="4" spans="1:11" x14ac:dyDescent="0.45">
      <c r="A4" s="12" t="s">
        <v>399</v>
      </c>
    </row>
    <row r="5" spans="1:11" x14ac:dyDescent="0.45">
      <c r="A5" s="68" t="s">
        <v>297</v>
      </c>
      <c r="B5" s="68" t="s">
        <v>92</v>
      </c>
      <c r="C5" s="68" t="s">
        <v>91</v>
      </c>
      <c r="D5" s="68" t="s">
        <v>30</v>
      </c>
      <c r="E5" s="68" t="s">
        <v>31</v>
      </c>
      <c r="F5" s="68" t="s">
        <v>122</v>
      </c>
      <c r="G5" s="68" t="s">
        <v>33</v>
      </c>
      <c r="H5" s="68" t="s">
        <v>123</v>
      </c>
      <c r="I5" s="68" t="s">
        <v>147</v>
      </c>
      <c r="J5" s="68" t="s">
        <v>397</v>
      </c>
      <c r="K5" s="68" t="s">
        <v>34</v>
      </c>
    </row>
    <row r="6" spans="1:11" x14ac:dyDescent="0.45">
      <c r="A6" s="39" t="s">
        <v>381</v>
      </c>
      <c r="B6" s="39" t="str">
        <f>IF(J6="Client","行き",IF(J6="Server","返り",""))</f>
        <v>行き</v>
      </c>
      <c r="C6" s="39" t="s">
        <v>308</v>
      </c>
      <c r="D6" s="39" t="str" cm="1">
        <f t="array" ref="D6">TRIM(INDEX(_xlfn.TEXTSPLIT(C6, " "), 1))</f>
        <v>07:05:07.611912</v>
      </c>
      <c r="E6" s="39" t="str" cm="1">
        <f t="array" ref="E6">TRIM(INDEX(_xlfn.TEXTSPLIT(C6, " "), 2))</f>
        <v>IP</v>
      </c>
      <c r="F6" s="67" t="str" cm="1">
        <f t="array" ref="F6">TRIM(INDEX(_xlfn.TEXTSPLIT(C6, " "), 3))</f>
        <v>192.168.100.26.41956</v>
      </c>
      <c r="G6" s="67" t="str" cm="1">
        <f t="array" ref="G6">TRIM(INDEX(_xlfn.TEXTSPLIT(C6, " "), 4))</f>
        <v>&gt;</v>
      </c>
      <c r="H6" s="67" t="str" cm="1">
        <f t="array" ref="H6">_xlfn.LET(
    _xlpm.v, TRIM(INDEX(_xlfn.TEXTSPLIT(C6, " "), 5)),
    IF(RIGHT(_xlpm.v,1)=":", LEFT(_xlpm.v, LEN(_xlpm.v)-1), _xlpm.v)
)</f>
        <v>192.168.100.30.ntp</v>
      </c>
      <c r="I6" s="39" t="str">
        <f t="shared" ref="I6:I21" si="0">TRIM(MID(C6, FIND("NTP", C6), 5))</f>
        <v>NTPv4</v>
      </c>
      <c r="J6" s="39" t="str">
        <f>TRIM(
    IF(ISNUMBER(FIND("Client", C6)), "Client",
    IF(ISNUMBER(FIND("Server", C6)), "Server",
    ""))
)</f>
        <v>Client</v>
      </c>
      <c r="K6" s="39" t="str">
        <f t="shared" ref="K6:K13" si="1">TRIM(MID(C6, FIND("length ", C6), LEN(C6) - FIND("length ", C6) + 1))</f>
        <v>length 48</v>
      </c>
    </row>
    <row r="7" spans="1:11" x14ac:dyDescent="0.45">
      <c r="A7" s="39" t="s">
        <v>383</v>
      </c>
      <c r="B7" s="39" t="str">
        <f t="shared" ref="B7:B21" si="2">IF(J7="Client","行き",IF(J7="Server","返り",""))</f>
        <v>返り</v>
      </c>
      <c r="C7" s="39" t="s">
        <v>309</v>
      </c>
      <c r="D7" s="39" t="str" cm="1">
        <f t="array" ref="D7">TRIM(INDEX(_xlfn.TEXTSPLIT(C7, " "), 1))</f>
        <v>07:05:07.612018</v>
      </c>
      <c r="E7" s="39" t="str" cm="1">
        <f t="array" ref="E7">TRIM(INDEX(_xlfn.TEXTSPLIT(C7, " "), 2))</f>
        <v>IP</v>
      </c>
      <c r="F7" s="67" t="str" cm="1">
        <f t="array" ref="F7">TRIM(INDEX(_xlfn.TEXTSPLIT(C7, " "), 3))</f>
        <v>192.168.100.30.ntp</v>
      </c>
      <c r="G7" s="67" t="str" cm="1">
        <f t="array" ref="G7">TRIM(INDEX(_xlfn.TEXTSPLIT(C7, " "), 4))</f>
        <v>&gt;</v>
      </c>
      <c r="H7" s="67" t="str" cm="1">
        <f t="array" ref="H7">_xlfn.LET(
    _xlpm.v, TRIM(INDEX(_xlfn.TEXTSPLIT(C7, " "), 5)),
    IF(RIGHT(_xlpm.v,1)=":", LEFT(_xlpm.v, LEN(_xlpm.v)-1), _xlpm.v)
)</f>
        <v>192.168.100.26.41956</v>
      </c>
      <c r="I7" s="39" t="str">
        <f t="shared" si="0"/>
        <v>NTPv4</v>
      </c>
      <c r="J7" s="39" t="str">
        <f t="shared" ref="J7:J21" si="3">TRIM(
    IF(ISNUMBER(FIND("Client", C7)), "Client",
    IF(ISNUMBER(FIND("Server", C7)), "Server",
    ""))
)</f>
        <v>Server</v>
      </c>
      <c r="K7" s="39" t="str">
        <f t="shared" si="1"/>
        <v>length 48</v>
      </c>
    </row>
    <row r="8" spans="1:11" x14ac:dyDescent="0.45">
      <c r="A8" s="39" t="s">
        <v>304</v>
      </c>
      <c r="B8" s="39" t="str">
        <f t="shared" si="2"/>
        <v>行き</v>
      </c>
      <c r="C8" s="39" t="s">
        <v>310</v>
      </c>
      <c r="D8" s="39" t="str" cm="1">
        <f t="array" ref="D8">TRIM(INDEX(_xlfn.TEXTSPLIT(C8, " "), 1))</f>
        <v>07:05:36.011003</v>
      </c>
      <c r="E8" s="39" t="str" cm="1">
        <f t="array" ref="E8">TRIM(INDEX(_xlfn.TEXTSPLIT(C8, " "), 2))</f>
        <v>IP</v>
      </c>
      <c r="F8" s="67" t="str" cm="1">
        <f t="array" ref="F8">TRIM(INDEX(_xlfn.TEXTSPLIT(C8, " "), 3))</f>
        <v>192.168.100.27.35724</v>
      </c>
      <c r="G8" s="67" t="str" cm="1">
        <f t="array" ref="G8">TRIM(INDEX(_xlfn.TEXTSPLIT(C8, " "), 4))</f>
        <v>&gt;</v>
      </c>
      <c r="H8" s="67" t="str" cm="1">
        <f t="array" ref="H8">_xlfn.LET(
    _xlpm.v, TRIM(INDEX(_xlfn.TEXTSPLIT(C8, " "), 5)),
    IF(RIGHT(_xlpm.v,1)=":", LEFT(_xlpm.v, LEN(_xlpm.v)-1), _xlpm.v)
)</f>
        <v>192.168.100.30.ntp</v>
      </c>
      <c r="I8" s="39" t="str">
        <f t="shared" si="0"/>
        <v>NTPv4</v>
      </c>
      <c r="J8" s="39" t="str">
        <f t="shared" si="3"/>
        <v>Client</v>
      </c>
      <c r="K8" s="39" t="str">
        <f t="shared" si="1"/>
        <v>length 48</v>
      </c>
    </row>
    <row r="9" spans="1:11" x14ac:dyDescent="0.45">
      <c r="A9" s="39" t="s">
        <v>301</v>
      </c>
      <c r="B9" s="39" t="str">
        <f t="shared" si="2"/>
        <v>返り</v>
      </c>
      <c r="C9" s="39" t="s">
        <v>311</v>
      </c>
      <c r="D9" s="39" t="str" cm="1">
        <f t="array" ref="D9">TRIM(INDEX(_xlfn.TEXTSPLIT(C9, " "), 1))</f>
        <v>07:05:36.011114</v>
      </c>
      <c r="E9" s="39" t="str" cm="1">
        <f t="array" ref="E9">TRIM(INDEX(_xlfn.TEXTSPLIT(C9, " "), 2))</f>
        <v>IP</v>
      </c>
      <c r="F9" s="67" t="str" cm="1">
        <f t="array" ref="F9">TRIM(INDEX(_xlfn.TEXTSPLIT(C9, " "), 3))</f>
        <v>192.168.100.30.ntp</v>
      </c>
      <c r="G9" s="67" t="str" cm="1">
        <f t="array" ref="G9">TRIM(INDEX(_xlfn.TEXTSPLIT(C9, " "), 4))</f>
        <v>&gt;</v>
      </c>
      <c r="H9" s="67" t="str" cm="1">
        <f t="array" ref="H9">_xlfn.LET(
    _xlpm.v, TRIM(INDEX(_xlfn.TEXTSPLIT(C9, " "), 5)),
    IF(RIGHT(_xlpm.v,1)=":", LEFT(_xlpm.v, LEN(_xlpm.v)-1), _xlpm.v)
)</f>
        <v>192.168.100.27.35724</v>
      </c>
      <c r="I9" s="39" t="str">
        <f t="shared" si="0"/>
        <v>NTPv4</v>
      </c>
      <c r="J9" s="39" t="str">
        <f t="shared" si="3"/>
        <v>Server</v>
      </c>
      <c r="K9" s="39" t="str">
        <f t="shared" si="1"/>
        <v>length 48</v>
      </c>
    </row>
    <row r="10" spans="1:11" x14ac:dyDescent="0.45">
      <c r="A10" s="39" t="s">
        <v>387</v>
      </c>
      <c r="B10" s="39" t="str">
        <f t="shared" si="2"/>
        <v>行き</v>
      </c>
      <c r="C10" s="39" t="s">
        <v>312</v>
      </c>
      <c r="D10" s="39" t="str" cm="1">
        <f t="array" ref="D10">TRIM(INDEX(_xlfn.TEXTSPLIT(C10, " "), 1))</f>
        <v>07:05:39.149754</v>
      </c>
      <c r="E10" s="39" t="str" cm="1">
        <f t="array" ref="E10">TRIM(INDEX(_xlfn.TEXTSPLIT(C10, " "), 2))</f>
        <v>IP</v>
      </c>
      <c r="F10" s="67" t="str" cm="1">
        <f t="array" ref="F10">TRIM(INDEX(_xlfn.TEXTSPLIT(C10, " "), 3))</f>
        <v>192.168.100.28.55543</v>
      </c>
      <c r="G10" s="67" t="str" cm="1">
        <f t="array" ref="G10">TRIM(INDEX(_xlfn.TEXTSPLIT(C10, " "), 4))</f>
        <v>&gt;</v>
      </c>
      <c r="H10" s="67" t="str" cm="1">
        <f t="array" ref="H10">_xlfn.LET(
    _xlpm.v, TRIM(INDEX(_xlfn.TEXTSPLIT(C10, " "), 5)),
    IF(RIGHT(_xlpm.v,1)=":", LEFT(_xlpm.v, LEN(_xlpm.v)-1), _xlpm.v)
)</f>
        <v>192.168.100.30.ntp</v>
      </c>
      <c r="I10" s="39" t="str">
        <f t="shared" si="0"/>
        <v>NTPv4</v>
      </c>
      <c r="J10" s="39" t="str">
        <f t="shared" si="3"/>
        <v>Client</v>
      </c>
      <c r="K10" s="39" t="str">
        <f t="shared" si="1"/>
        <v>length 48</v>
      </c>
    </row>
    <row r="11" spans="1:11" x14ac:dyDescent="0.45">
      <c r="A11" s="39" t="s">
        <v>382</v>
      </c>
      <c r="B11" s="39" t="str">
        <f t="shared" si="2"/>
        <v>返り</v>
      </c>
      <c r="C11" s="39" t="s">
        <v>313</v>
      </c>
      <c r="D11" s="39" t="str" cm="1">
        <f t="array" ref="D11">TRIM(INDEX(_xlfn.TEXTSPLIT(C11, " "), 1))</f>
        <v>07:05:39.149871</v>
      </c>
      <c r="E11" s="39" t="str" cm="1">
        <f t="array" ref="E11">TRIM(INDEX(_xlfn.TEXTSPLIT(C11, " "), 2))</f>
        <v>IP</v>
      </c>
      <c r="F11" s="67" t="str" cm="1">
        <f t="array" ref="F11">TRIM(INDEX(_xlfn.TEXTSPLIT(C11, " "), 3))</f>
        <v>192.168.100.30.ntp</v>
      </c>
      <c r="G11" s="67" t="str" cm="1">
        <f t="array" ref="G11">TRIM(INDEX(_xlfn.TEXTSPLIT(C11, " "), 4))</f>
        <v>&gt;</v>
      </c>
      <c r="H11" s="67" t="str" cm="1">
        <f t="array" ref="H11">_xlfn.LET(
    _xlpm.v, TRIM(INDEX(_xlfn.TEXTSPLIT(C11, " "), 5)),
    IF(RIGHT(_xlpm.v,1)=":", LEFT(_xlpm.v, LEN(_xlpm.v)-1), _xlpm.v)
)</f>
        <v>192.168.100.28.55543</v>
      </c>
      <c r="I11" s="39" t="str">
        <f t="shared" si="0"/>
        <v>NTPv4</v>
      </c>
      <c r="J11" s="39" t="str">
        <f t="shared" si="3"/>
        <v>Server</v>
      </c>
      <c r="K11" s="39" t="str">
        <f t="shared" si="1"/>
        <v>length 48</v>
      </c>
    </row>
    <row r="12" spans="1:11" x14ac:dyDescent="0.45">
      <c r="A12" s="39" t="s">
        <v>385</v>
      </c>
      <c r="B12" s="39" t="str">
        <f t="shared" si="2"/>
        <v>行き</v>
      </c>
      <c r="C12" s="39" t="s">
        <v>314</v>
      </c>
      <c r="D12" s="39" t="str" cm="1">
        <f t="array" ref="D12">TRIM(INDEX(_xlfn.TEXTSPLIT(C12, " "), 1))</f>
        <v>07:05:47.717246</v>
      </c>
      <c r="E12" s="39" t="str" cm="1">
        <f t="array" ref="E12">TRIM(INDEX(_xlfn.TEXTSPLIT(C12, " "), 2))</f>
        <v>IP</v>
      </c>
      <c r="F12" s="67" t="str" cm="1">
        <f t="array" ref="F12">TRIM(INDEX(_xlfn.TEXTSPLIT(C12, " "), 3))</f>
        <v>192.168.100.29.45179</v>
      </c>
      <c r="G12" s="67" t="str" cm="1">
        <f t="array" ref="G12">TRIM(INDEX(_xlfn.TEXTSPLIT(C12, " "), 4))</f>
        <v>&gt;</v>
      </c>
      <c r="H12" s="67" t="str" cm="1">
        <f t="array" ref="H12">_xlfn.LET(
    _xlpm.v, TRIM(INDEX(_xlfn.TEXTSPLIT(C12, " "), 5)),
    IF(RIGHT(_xlpm.v,1)=":", LEFT(_xlpm.v, LEN(_xlpm.v)-1), _xlpm.v)
)</f>
        <v>192.168.100.30.ntp</v>
      </c>
      <c r="I12" s="39" t="str">
        <f t="shared" si="0"/>
        <v>NTPv4</v>
      </c>
      <c r="J12" s="39" t="str">
        <f t="shared" si="3"/>
        <v>Client</v>
      </c>
      <c r="K12" s="39" t="str">
        <f t="shared" si="1"/>
        <v>length 48</v>
      </c>
    </row>
    <row r="13" spans="1:11" x14ac:dyDescent="0.45">
      <c r="A13" s="39" t="s">
        <v>388</v>
      </c>
      <c r="B13" s="39" t="str">
        <f t="shared" si="2"/>
        <v>返り</v>
      </c>
      <c r="C13" s="39" t="s">
        <v>315</v>
      </c>
      <c r="D13" s="39" t="str" cm="1">
        <f t="array" ref="D13">TRIM(INDEX(_xlfn.TEXTSPLIT(C13, " "), 1))</f>
        <v>07:05:47.717360</v>
      </c>
      <c r="E13" s="39" t="str" cm="1">
        <f t="array" ref="E13">TRIM(INDEX(_xlfn.TEXTSPLIT(C13, " "), 2))</f>
        <v>IP</v>
      </c>
      <c r="F13" s="67" t="str" cm="1">
        <f t="array" ref="F13">TRIM(INDEX(_xlfn.TEXTSPLIT(C13, " "), 3))</f>
        <v>192.168.100.30.ntp</v>
      </c>
      <c r="G13" s="67" t="str" cm="1">
        <f t="array" ref="G13">TRIM(INDEX(_xlfn.TEXTSPLIT(C13, " "), 4))</f>
        <v>&gt;</v>
      </c>
      <c r="H13" s="67" t="str" cm="1">
        <f t="array" ref="H13">_xlfn.LET(
    _xlpm.v, TRIM(INDEX(_xlfn.TEXTSPLIT(C13, " "), 5)),
    IF(RIGHT(_xlpm.v,1)=":", LEFT(_xlpm.v, LEN(_xlpm.v)-1), _xlpm.v)
)</f>
        <v>192.168.100.29.45179</v>
      </c>
      <c r="I13" s="39" t="str">
        <f t="shared" si="0"/>
        <v>NTPv4</v>
      </c>
      <c r="J13" s="39" t="str">
        <f t="shared" si="3"/>
        <v>Server</v>
      </c>
      <c r="K13" s="39" t="str">
        <f t="shared" si="1"/>
        <v>length 48</v>
      </c>
    </row>
    <row r="14" spans="1:11" x14ac:dyDescent="0.45">
      <c r="A14" s="39" t="s">
        <v>389</v>
      </c>
      <c r="B14" s="39" t="str">
        <f t="shared" si="2"/>
        <v>行き</v>
      </c>
      <c r="C14" s="39" t="s">
        <v>316</v>
      </c>
      <c r="D14" s="39" t="str" cm="1">
        <f t="array" ref="D14">TRIM(INDEX(_xlfn.TEXTSPLIT(C14, " "), 1))</f>
        <v>07:05:50.929997</v>
      </c>
      <c r="E14" s="39" t="str" cm="1">
        <f t="array" ref="E14">TRIM(INDEX(_xlfn.TEXTSPLIT(C14, " "), 2))</f>
        <v>IP</v>
      </c>
      <c r="F14" s="67" t="str" cm="1">
        <f t="array" ref="F14">TRIM(INDEX(_xlfn.TEXTSPLIT(C14, " "), 3))</f>
        <v>192.168.100.31.49511</v>
      </c>
      <c r="G14" s="67" t="str" cm="1">
        <f t="array" ref="G14">TRIM(INDEX(_xlfn.TEXTSPLIT(C14, " "), 4))</f>
        <v>&gt;</v>
      </c>
      <c r="H14" s="67" t="str" cm="1">
        <f t="array" ref="H14">_xlfn.LET(
    _xlpm.v, TRIM(INDEX(_xlfn.TEXTSPLIT(C14, " "), 5)),
    IF(RIGHT(_xlpm.v,1)=":", LEFT(_xlpm.v, LEN(_xlpm.v)-1), _xlpm.v)
)</f>
        <v>192.168.100.30.ntp</v>
      </c>
      <c r="I14" s="39" t="str">
        <f t="shared" si="0"/>
        <v>NTPv4</v>
      </c>
      <c r="J14" s="39" t="str">
        <f t="shared" si="3"/>
        <v>Client</v>
      </c>
      <c r="K14" s="39" t="str">
        <f t="shared" ref="K14:K21" si="4">TRIM(MID(C14, FIND("length ", C14), LEN(C14) - FIND("length ", C14) + 1))</f>
        <v>length 48</v>
      </c>
    </row>
    <row r="15" spans="1:11" x14ac:dyDescent="0.45">
      <c r="A15" s="39" t="s">
        <v>390</v>
      </c>
      <c r="B15" s="39" t="str">
        <f t="shared" si="2"/>
        <v>返り</v>
      </c>
      <c r="C15" s="39" t="s">
        <v>317</v>
      </c>
      <c r="D15" s="39" t="str" cm="1">
        <f t="array" ref="D15">TRIM(INDEX(_xlfn.TEXTSPLIT(C15, " "), 1))</f>
        <v>07:05:50.930112</v>
      </c>
      <c r="E15" s="39" t="str" cm="1">
        <f t="array" ref="E15">TRIM(INDEX(_xlfn.TEXTSPLIT(C15, " "), 2))</f>
        <v>IP</v>
      </c>
      <c r="F15" s="67" t="str" cm="1">
        <f t="array" ref="F15">TRIM(INDEX(_xlfn.TEXTSPLIT(C15, " "), 3))</f>
        <v>192.168.100.30.ntp</v>
      </c>
      <c r="G15" s="67" t="str" cm="1">
        <f t="array" ref="G15">TRIM(INDEX(_xlfn.TEXTSPLIT(C15, " "), 4))</f>
        <v>&gt;</v>
      </c>
      <c r="H15" s="67" t="str" cm="1">
        <f t="array" ref="H15">_xlfn.LET(
    _xlpm.v, TRIM(INDEX(_xlfn.TEXTSPLIT(C15, " "), 5)),
    IF(RIGHT(_xlpm.v,1)=":", LEFT(_xlpm.v, LEN(_xlpm.v)-1), _xlpm.v)
)</f>
        <v>192.168.100.31.49511</v>
      </c>
      <c r="I15" s="39" t="str">
        <f t="shared" si="0"/>
        <v>NTPv4</v>
      </c>
      <c r="J15" s="39" t="str">
        <f t="shared" si="3"/>
        <v>Server</v>
      </c>
      <c r="K15" s="39" t="str">
        <f t="shared" si="4"/>
        <v>length 48</v>
      </c>
    </row>
    <row r="16" spans="1:11" x14ac:dyDescent="0.45">
      <c r="A16" s="39" t="s">
        <v>391</v>
      </c>
      <c r="B16" s="39" t="str">
        <f t="shared" si="2"/>
        <v>行き</v>
      </c>
      <c r="C16" s="39" t="s">
        <v>318</v>
      </c>
      <c r="D16" s="39" t="str" cm="1">
        <f t="array" ref="D16">TRIM(INDEX(_xlfn.TEXTSPLIT(C16, " "), 1))</f>
        <v>07:05:56.894766</v>
      </c>
      <c r="E16" s="39" t="str" cm="1">
        <f t="array" ref="E16">TRIM(INDEX(_xlfn.TEXTSPLIT(C16, " "), 2))</f>
        <v>IP</v>
      </c>
      <c r="F16" s="67" t="str" cm="1">
        <f t="array" ref="F16">TRIM(INDEX(_xlfn.TEXTSPLIT(C16, " "), 3))</f>
        <v>192.168.110.8.38914</v>
      </c>
      <c r="G16" s="67" t="str" cm="1">
        <f t="array" ref="G16">TRIM(INDEX(_xlfn.TEXTSPLIT(C16, " "), 4))</f>
        <v>&gt;</v>
      </c>
      <c r="H16" s="67" t="str" cm="1">
        <f t="array" ref="H16">_xlfn.LET(
    _xlpm.v, TRIM(INDEX(_xlfn.TEXTSPLIT(C16, " "), 5)),
    IF(RIGHT(_xlpm.v,1)=":", LEFT(_xlpm.v, LEN(_xlpm.v)-1), _xlpm.v)
)</f>
        <v>192.168.100.30.ntp</v>
      </c>
      <c r="I16" s="39" t="str">
        <f t="shared" si="0"/>
        <v>NTPv4</v>
      </c>
      <c r="J16" s="39" t="str">
        <f t="shared" si="3"/>
        <v>Client</v>
      </c>
      <c r="K16" s="39" t="str">
        <f t="shared" si="4"/>
        <v>length 48</v>
      </c>
    </row>
    <row r="17" spans="1:11" x14ac:dyDescent="0.45">
      <c r="A17" s="39" t="s">
        <v>392</v>
      </c>
      <c r="B17" s="39" t="str">
        <f t="shared" si="2"/>
        <v>返り</v>
      </c>
      <c r="C17" s="39" t="s">
        <v>319</v>
      </c>
      <c r="D17" s="39" t="str" cm="1">
        <f t="array" ref="D17">TRIM(INDEX(_xlfn.TEXTSPLIT(C17, " "), 1))</f>
        <v>07:05:56.894874</v>
      </c>
      <c r="E17" s="39" t="str" cm="1">
        <f t="array" ref="E17">TRIM(INDEX(_xlfn.TEXTSPLIT(C17, " "), 2))</f>
        <v>IP</v>
      </c>
      <c r="F17" s="67" t="str" cm="1">
        <f t="array" ref="F17">TRIM(INDEX(_xlfn.TEXTSPLIT(C17, " "), 3))</f>
        <v>192.168.100.30.ntp</v>
      </c>
      <c r="G17" s="67" t="str" cm="1">
        <f t="array" ref="G17">TRIM(INDEX(_xlfn.TEXTSPLIT(C17, " "), 4))</f>
        <v>&gt;</v>
      </c>
      <c r="H17" s="67" t="str" cm="1">
        <f t="array" ref="H17">_xlfn.LET(
    _xlpm.v, TRIM(INDEX(_xlfn.TEXTSPLIT(C17, " "), 5)),
    IF(RIGHT(_xlpm.v,1)=":", LEFT(_xlpm.v, LEN(_xlpm.v)-1), _xlpm.v)
)</f>
        <v>192.168.110.8.38914</v>
      </c>
      <c r="I17" s="39" t="str">
        <f t="shared" si="0"/>
        <v>NTPv4</v>
      </c>
      <c r="J17" s="39" t="str">
        <f t="shared" si="3"/>
        <v>Server</v>
      </c>
      <c r="K17" s="39" t="str">
        <f t="shared" si="4"/>
        <v>length 48</v>
      </c>
    </row>
    <row r="18" spans="1:11" x14ac:dyDescent="0.45">
      <c r="A18" s="39" t="s">
        <v>393</v>
      </c>
      <c r="B18" s="39" t="str">
        <f t="shared" si="2"/>
        <v>行き</v>
      </c>
      <c r="C18" s="39" t="s">
        <v>322</v>
      </c>
      <c r="D18" s="39" t="str" cm="1">
        <f t="array" ref="D18">TRIM(INDEX(_xlfn.TEXTSPLIT(C18, " "), 1))</f>
        <v>07:06:03.472043</v>
      </c>
      <c r="E18" s="39" t="str" cm="1">
        <f t="array" ref="E18">TRIM(INDEX(_xlfn.TEXTSPLIT(C18, " "), 2))</f>
        <v>IP</v>
      </c>
      <c r="F18" s="67" t="str" cm="1">
        <f t="array" ref="F18">TRIM(INDEX(_xlfn.TEXTSPLIT(C18, " "), 3))</f>
        <v>192.168.110.9.55199</v>
      </c>
      <c r="G18" s="67" t="str" cm="1">
        <f t="array" ref="G18">TRIM(INDEX(_xlfn.TEXTSPLIT(C18, " "), 4))</f>
        <v>&gt;</v>
      </c>
      <c r="H18" s="67" t="str" cm="1">
        <f t="array" ref="H18">_xlfn.LET(
    _xlpm.v, TRIM(INDEX(_xlfn.TEXTSPLIT(C18, " "), 5)),
    IF(RIGHT(_xlpm.v,1)=":", LEFT(_xlpm.v, LEN(_xlpm.v)-1), _xlpm.v)
)</f>
        <v>192.168.100.30.ntp</v>
      </c>
      <c r="I18" s="39" t="str">
        <f t="shared" si="0"/>
        <v>NTPv4</v>
      </c>
      <c r="J18" s="39" t="str">
        <f t="shared" si="3"/>
        <v>Client</v>
      </c>
      <c r="K18" s="39" t="str">
        <f t="shared" si="4"/>
        <v>length 48</v>
      </c>
    </row>
    <row r="19" spans="1:11" x14ac:dyDescent="0.45">
      <c r="A19" s="39" t="s">
        <v>394</v>
      </c>
      <c r="B19" s="39" t="str">
        <f t="shared" si="2"/>
        <v>返り</v>
      </c>
      <c r="C19" s="39" t="s">
        <v>323</v>
      </c>
      <c r="D19" s="39" t="str" cm="1">
        <f t="array" ref="D19">TRIM(INDEX(_xlfn.TEXTSPLIT(C19, " "), 1))</f>
        <v>07:06:03.472198</v>
      </c>
      <c r="E19" s="39" t="str" cm="1">
        <f t="array" ref="E19">TRIM(INDEX(_xlfn.TEXTSPLIT(C19, " "), 2))</f>
        <v>IP</v>
      </c>
      <c r="F19" s="67" t="str" cm="1">
        <f t="array" ref="F19">TRIM(INDEX(_xlfn.TEXTSPLIT(C19, " "), 3))</f>
        <v>192.168.100.30.ntp</v>
      </c>
      <c r="G19" s="67" t="str" cm="1">
        <f t="array" ref="G19">TRIM(INDEX(_xlfn.TEXTSPLIT(C19, " "), 4))</f>
        <v>&gt;</v>
      </c>
      <c r="H19" s="67" t="str" cm="1">
        <f t="array" ref="H19">_xlfn.LET(
    _xlpm.v, TRIM(INDEX(_xlfn.TEXTSPLIT(C19, " "), 5)),
    IF(RIGHT(_xlpm.v,1)=":", LEFT(_xlpm.v, LEN(_xlpm.v)-1), _xlpm.v)
)</f>
        <v>192.168.110.9.55199</v>
      </c>
      <c r="I19" s="39" t="str">
        <f t="shared" si="0"/>
        <v>NTPv4</v>
      </c>
      <c r="J19" s="39" t="str">
        <f t="shared" si="3"/>
        <v>Server</v>
      </c>
      <c r="K19" s="39" t="str">
        <f t="shared" si="4"/>
        <v>length 48</v>
      </c>
    </row>
    <row r="20" spans="1:11" x14ac:dyDescent="0.45">
      <c r="A20" s="39" t="s">
        <v>395</v>
      </c>
      <c r="B20" s="39" t="str">
        <f t="shared" si="2"/>
        <v>行き</v>
      </c>
      <c r="C20" s="39" t="s">
        <v>362</v>
      </c>
      <c r="D20" s="39" t="str" cm="1">
        <f t="array" ref="D20">TRIM(INDEX(_xlfn.TEXTSPLIT(C20, " "), 1))</f>
        <v>07:09:03.333376</v>
      </c>
      <c r="E20" s="39" t="str" cm="1">
        <f t="array" ref="E20">TRIM(INDEX(_xlfn.TEXTSPLIT(C20, " "), 2))</f>
        <v>IP</v>
      </c>
      <c r="F20" s="67" t="str" cm="1">
        <f t="array" ref="F20">TRIM(INDEX(_xlfn.TEXTSPLIT(C20, " "), 3))</f>
        <v>192.168.110.10.36008</v>
      </c>
      <c r="G20" s="67" t="str" cm="1">
        <f t="array" ref="G20">TRIM(INDEX(_xlfn.TEXTSPLIT(C20, " "), 4))</f>
        <v>&gt;</v>
      </c>
      <c r="H20" s="67" t="str" cm="1">
        <f t="array" ref="H20">_xlfn.LET(
    _xlpm.v, TRIM(INDEX(_xlfn.TEXTSPLIT(C20, " "), 5)),
    IF(RIGHT(_xlpm.v,1)=":", LEFT(_xlpm.v, LEN(_xlpm.v)-1), _xlpm.v)
)</f>
        <v>192.168.100.30.ntp</v>
      </c>
      <c r="I20" s="39" t="str">
        <f t="shared" si="0"/>
        <v>NTPv4</v>
      </c>
      <c r="J20" s="39" t="str">
        <f t="shared" si="3"/>
        <v>Client</v>
      </c>
      <c r="K20" s="39" t="str">
        <f t="shared" si="4"/>
        <v>length 48</v>
      </c>
    </row>
    <row r="21" spans="1:11" x14ac:dyDescent="0.45">
      <c r="A21" s="39" t="s">
        <v>396</v>
      </c>
      <c r="B21" s="39" t="str">
        <f t="shared" si="2"/>
        <v>返り</v>
      </c>
      <c r="C21" s="39" t="s">
        <v>363</v>
      </c>
      <c r="D21" s="39" t="str" cm="1">
        <f t="array" ref="D21">TRIM(INDEX(_xlfn.TEXTSPLIT(C21, " "), 1))</f>
        <v>07:09:03.333471</v>
      </c>
      <c r="E21" s="39" t="str" cm="1">
        <f t="array" ref="E21">TRIM(INDEX(_xlfn.TEXTSPLIT(C21, " "), 2))</f>
        <v>IP</v>
      </c>
      <c r="F21" s="67" t="str" cm="1">
        <f t="array" ref="F21">TRIM(INDEX(_xlfn.TEXTSPLIT(C21, " "), 3))</f>
        <v>192.168.100.30.ntp</v>
      </c>
      <c r="G21" s="67" t="str" cm="1">
        <f t="array" ref="G21">TRIM(INDEX(_xlfn.TEXTSPLIT(C21, " "), 4))</f>
        <v>&gt;</v>
      </c>
      <c r="H21" s="67" t="str" cm="1">
        <f t="array" ref="H21">_xlfn.LET(
    _xlpm.v, TRIM(INDEX(_xlfn.TEXTSPLIT(C21, " "), 5)),
    IF(RIGHT(_xlpm.v,1)=":", LEFT(_xlpm.v, LEN(_xlpm.v)-1), _xlpm.v)
)</f>
        <v>192.168.110.10.36008</v>
      </c>
      <c r="I21" s="39" t="str">
        <f t="shared" si="0"/>
        <v>NTPv4</v>
      </c>
      <c r="J21" s="39" t="str">
        <f t="shared" si="3"/>
        <v>Server</v>
      </c>
      <c r="K21" s="39" t="str">
        <f t="shared" si="4"/>
        <v>length 48</v>
      </c>
    </row>
    <row r="22" spans="1:11" x14ac:dyDescent="0.45">
      <c r="A22" s="4" t="s">
        <v>127</v>
      </c>
    </row>
    <row r="23" spans="1:11" x14ac:dyDescent="0.45">
      <c r="A23" s="4" t="s">
        <v>148</v>
      </c>
    </row>
    <row r="25" spans="1:11" x14ac:dyDescent="0.45">
      <c r="A25" s="12" t="s">
        <v>263</v>
      </c>
    </row>
    <row r="26" spans="1:11" x14ac:dyDescent="0.45">
      <c r="A26" s="4" t="s">
        <v>306</v>
      </c>
    </row>
    <row r="27" spans="1:11" x14ac:dyDescent="0.45">
      <c r="A27" s="4" t="s">
        <v>307</v>
      </c>
    </row>
    <row r="28" spans="1:11" x14ac:dyDescent="0.45">
      <c r="A28" s="4" t="s">
        <v>35</v>
      </c>
    </row>
    <row r="29" spans="1:11" x14ac:dyDescent="0.45">
      <c r="A29" s="4" t="s">
        <v>36</v>
      </c>
    </row>
    <row r="30" spans="1:11" x14ac:dyDescent="0.45">
      <c r="A30" s="4" t="s">
        <v>32</v>
      </c>
    </row>
    <row r="31" spans="1:11" x14ac:dyDescent="0.45">
      <c r="A31" s="23" t="s">
        <v>308</v>
      </c>
    </row>
    <row r="32" spans="1:11" x14ac:dyDescent="0.45">
      <c r="A32" s="23" t="s">
        <v>309</v>
      </c>
    </row>
    <row r="33" spans="1:1" x14ac:dyDescent="0.45">
      <c r="A33" s="23" t="s">
        <v>310</v>
      </c>
    </row>
    <row r="34" spans="1:1" x14ac:dyDescent="0.45">
      <c r="A34" s="23" t="s">
        <v>311</v>
      </c>
    </row>
    <row r="35" spans="1:1" x14ac:dyDescent="0.45">
      <c r="A35" s="23" t="s">
        <v>312</v>
      </c>
    </row>
    <row r="36" spans="1:1" x14ac:dyDescent="0.45">
      <c r="A36" s="23" t="s">
        <v>313</v>
      </c>
    </row>
    <row r="37" spans="1:1" x14ac:dyDescent="0.45">
      <c r="A37" s="23" t="s">
        <v>314</v>
      </c>
    </row>
    <row r="38" spans="1:1" x14ac:dyDescent="0.45">
      <c r="A38" s="23" t="s">
        <v>315</v>
      </c>
    </row>
    <row r="39" spans="1:1" x14ac:dyDescent="0.45">
      <c r="A39" s="23" t="s">
        <v>316</v>
      </c>
    </row>
    <row r="40" spans="1:1" x14ac:dyDescent="0.45">
      <c r="A40" s="23" t="s">
        <v>317</v>
      </c>
    </row>
    <row r="41" spans="1:1" x14ac:dyDescent="0.45">
      <c r="A41" s="23" t="s">
        <v>318</v>
      </c>
    </row>
    <row r="42" spans="1:1" x14ac:dyDescent="0.45">
      <c r="A42" s="23" t="s">
        <v>319</v>
      </c>
    </row>
    <row r="43" spans="1:1" x14ac:dyDescent="0.45">
      <c r="A43" s="23" t="s">
        <v>320</v>
      </c>
    </row>
    <row r="44" spans="1:1" x14ac:dyDescent="0.45">
      <c r="A44" s="23" t="s">
        <v>321</v>
      </c>
    </row>
    <row r="45" spans="1:1" x14ac:dyDescent="0.45">
      <c r="A45" s="23" t="s">
        <v>322</v>
      </c>
    </row>
    <row r="46" spans="1:1" x14ac:dyDescent="0.45">
      <c r="A46" s="23" t="s">
        <v>323</v>
      </c>
    </row>
    <row r="47" spans="1:1" x14ac:dyDescent="0.45">
      <c r="A47" s="4" t="s">
        <v>324</v>
      </c>
    </row>
    <row r="48" spans="1:1" x14ac:dyDescent="0.45">
      <c r="A48" s="4" t="s">
        <v>325</v>
      </c>
    </row>
    <row r="49" spans="1:1" x14ac:dyDescent="0.45">
      <c r="A49" s="4" t="s">
        <v>326</v>
      </c>
    </row>
    <row r="50" spans="1:1" x14ac:dyDescent="0.45">
      <c r="A50" s="4" t="s">
        <v>327</v>
      </c>
    </row>
    <row r="51" spans="1:1" x14ac:dyDescent="0.45">
      <c r="A51" s="4" t="s">
        <v>328</v>
      </c>
    </row>
    <row r="52" spans="1:1" x14ac:dyDescent="0.45">
      <c r="A52" s="4" t="s">
        <v>329</v>
      </c>
    </row>
    <row r="53" spans="1:1" x14ac:dyDescent="0.45">
      <c r="A53" s="4" t="s">
        <v>330</v>
      </c>
    </row>
    <row r="54" spans="1:1" x14ac:dyDescent="0.45">
      <c r="A54" s="4" t="s">
        <v>331</v>
      </c>
    </row>
    <row r="55" spans="1:1" x14ac:dyDescent="0.45">
      <c r="A55" s="4" t="s">
        <v>332</v>
      </c>
    </row>
    <row r="56" spans="1:1" x14ac:dyDescent="0.45">
      <c r="A56" s="4" t="s">
        <v>333</v>
      </c>
    </row>
    <row r="57" spans="1:1" x14ac:dyDescent="0.45">
      <c r="A57" s="4" t="s">
        <v>334</v>
      </c>
    </row>
    <row r="58" spans="1:1" x14ac:dyDescent="0.45">
      <c r="A58" s="4" t="s">
        <v>335</v>
      </c>
    </row>
    <row r="59" spans="1:1" x14ac:dyDescent="0.45">
      <c r="A59" s="4" t="s">
        <v>336</v>
      </c>
    </row>
    <row r="60" spans="1:1" x14ac:dyDescent="0.45">
      <c r="A60" s="4" t="s">
        <v>337</v>
      </c>
    </row>
    <row r="61" spans="1:1" x14ac:dyDescent="0.45">
      <c r="A61" s="4" t="s">
        <v>338</v>
      </c>
    </row>
    <row r="62" spans="1:1" x14ac:dyDescent="0.45">
      <c r="A62" s="4" t="s">
        <v>339</v>
      </c>
    </row>
    <row r="63" spans="1:1" x14ac:dyDescent="0.45">
      <c r="A63" s="4" t="s">
        <v>340</v>
      </c>
    </row>
    <row r="64" spans="1:1" x14ac:dyDescent="0.45">
      <c r="A64" s="4" t="s">
        <v>341</v>
      </c>
    </row>
    <row r="65" spans="1:1" x14ac:dyDescent="0.45">
      <c r="A65" s="4" t="s">
        <v>342</v>
      </c>
    </row>
    <row r="66" spans="1:1" x14ac:dyDescent="0.45">
      <c r="A66" s="4" t="s">
        <v>343</v>
      </c>
    </row>
    <row r="67" spans="1:1" x14ac:dyDescent="0.45">
      <c r="A67" s="4" t="s">
        <v>344</v>
      </c>
    </row>
    <row r="68" spans="1:1" x14ac:dyDescent="0.45">
      <c r="A68" s="4" t="s">
        <v>345</v>
      </c>
    </row>
    <row r="69" spans="1:1" x14ac:dyDescent="0.45">
      <c r="A69" s="4" t="s">
        <v>346</v>
      </c>
    </row>
    <row r="70" spans="1:1" x14ac:dyDescent="0.45">
      <c r="A70" s="4" t="s">
        <v>347</v>
      </c>
    </row>
    <row r="71" spans="1:1" x14ac:dyDescent="0.45">
      <c r="A71" s="4" t="s">
        <v>348</v>
      </c>
    </row>
    <row r="72" spans="1:1" x14ac:dyDescent="0.45">
      <c r="A72" s="4" t="s">
        <v>349</v>
      </c>
    </row>
    <row r="73" spans="1:1" x14ac:dyDescent="0.45">
      <c r="A73" s="4" t="s">
        <v>350</v>
      </c>
    </row>
    <row r="74" spans="1:1" x14ac:dyDescent="0.45">
      <c r="A74" s="4" t="s">
        <v>351</v>
      </c>
    </row>
    <row r="75" spans="1:1" x14ac:dyDescent="0.45">
      <c r="A75" s="4" t="s">
        <v>352</v>
      </c>
    </row>
    <row r="76" spans="1:1" x14ac:dyDescent="0.45">
      <c r="A76" s="4" t="s">
        <v>353</v>
      </c>
    </row>
    <row r="77" spans="1:1" x14ac:dyDescent="0.45">
      <c r="A77" s="4" t="s">
        <v>354</v>
      </c>
    </row>
    <row r="78" spans="1:1" x14ac:dyDescent="0.45">
      <c r="A78" s="4" t="s">
        <v>355</v>
      </c>
    </row>
    <row r="79" spans="1:1" x14ac:dyDescent="0.45">
      <c r="A79" s="4" t="s">
        <v>356</v>
      </c>
    </row>
    <row r="80" spans="1:1" x14ac:dyDescent="0.45">
      <c r="A80" s="4" t="s">
        <v>357</v>
      </c>
    </row>
    <row r="81" spans="1:1" x14ac:dyDescent="0.45">
      <c r="A81" s="4" t="s">
        <v>358</v>
      </c>
    </row>
    <row r="82" spans="1:1" x14ac:dyDescent="0.45">
      <c r="A82" s="4" t="s">
        <v>359</v>
      </c>
    </row>
    <row r="83" spans="1:1" x14ac:dyDescent="0.45">
      <c r="A83" s="4" t="s">
        <v>360</v>
      </c>
    </row>
    <row r="84" spans="1:1" x14ac:dyDescent="0.45">
      <c r="A84" s="4" t="s">
        <v>361</v>
      </c>
    </row>
    <row r="85" spans="1:1" x14ac:dyDescent="0.45">
      <c r="A85" s="23" t="s">
        <v>362</v>
      </c>
    </row>
    <row r="86" spans="1:1" x14ac:dyDescent="0.45">
      <c r="A86" s="23" t="s">
        <v>363</v>
      </c>
    </row>
    <row r="87" spans="1:1" x14ac:dyDescent="0.45">
      <c r="A87" s="4" t="s">
        <v>364</v>
      </c>
    </row>
    <row r="88" spans="1:1" x14ac:dyDescent="0.45">
      <c r="A88" s="4" t="s">
        <v>365</v>
      </c>
    </row>
    <row r="89" spans="1:1" x14ac:dyDescent="0.45">
      <c r="A89" s="4" t="s">
        <v>366</v>
      </c>
    </row>
    <row r="90" spans="1:1" x14ac:dyDescent="0.45">
      <c r="A90" s="4" t="s">
        <v>367</v>
      </c>
    </row>
    <row r="91" spans="1:1" x14ac:dyDescent="0.45">
      <c r="A91" s="4" t="s">
        <v>368</v>
      </c>
    </row>
    <row r="92" spans="1:1" x14ac:dyDescent="0.45">
      <c r="A92" s="4" t="s">
        <v>369</v>
      </c>
    </row>
    <row r="93" spans="1:1" x14ac:dyDescent="0.45">
      <c r="A93" s="4" t="s">
        <v>370</v>
      </c>
    </row>
    <row r="94" spans="1:1" x14ac:dyDescent="0.45">
      <c r="A94" s="4" t="s">
        <v>371</v>
      </c>
    </row>
    <row r="95" spans="1:1" x14ac:dyDescent="0.45">
      <c r="A95" s="4" t="s">
        <v>372</v>
      </c>
    </row>
    <row r="96" spans="1:1" x14ac:dyDescent="0.45">
      <c r="A96" s="4" t="s">
        <v>373</v>
      </c>
    </row>
    <row r="97" spans="1:1" x14ac:dyDescent="0.45">
      <c r="A97" s="4" t="s">
        <v>374</v>
      </c>
    </row>
    <row r="98" spans="1:1" x14ac:dyDescent="0.45">
      <c r="A98" s="4" t="s">
        <v>375</v>
      </c>
    </row>
    <row r="99" spans="1:1" x14ac:dyDescent="0.45">
      <c r="A99" s="4" t="s">
        <v>376</v>
      </c>
    </row>
    <row r="101" spans="1:1" x14ac:dyDescent="0.45">
      <c r="A101" s="4" t="s">
        <v>377</v>
      </c>
    </row>
    <row r="102" spans="1:1" x14ac:dyDescent="0.45">
      <c r="A102" s="4" t="s">
        <v>378</v>
      </c>
    </row>
    <row r="103" spans="1:1" x14ac:dyDescent="0.45">
      <c r="A103" s="4" t="s">
        <v>38</v>
      </c>
    </row>
    <row r="104" spans="1:1" x14ac:dyDescent="0.45">
      <c r="A104" s="4" t="s">
        <v>278</v>
      </c>
    </row>
    <row r="105" spans="1:1" x14ac:dyDescent="0.45">
      <c r="A105" s="4" t="s">
        <v>278</v>
      </c>
    </row>
  </sheetData>
  <phoneticPr fontId="1"/>
  <conditionalFormatting sqref="A5:C21">
    <cfRule type="expression" dxfId="14" priority="1">
      <formula>$B5="返り"</formula>
    </cfRule>
    <cfRule type="expression" dxfId="13" priority="2">
      <formula>$B5="行き"</formula>
    </cfRule>
  </conditionalFormatting>
  <conditionalFormatting sqref="D6:K21">
    <cfRule type="expression" dxfId="12" priority="7">
      <formula>$B6="返り"</formula>
    </cfRule>
    <cfRule type="expression" dxfId="11" priority="8">
      <formula>$B6="行き"</formula>
    </cfRule>
  </conditionalFormatting>
  <hyperlinks>
    <hyperlink ref="A1" location="通信要件一覧!A1" display="※「通信要件一覧」シートに戻る" xr:uid="{2BF7AF73-C1C5-4C44-BD3C-DE8F01002A93}"/>
  </hyperlinks>
  <pageMargins left="0.7" right="0.7" top="0.75" bottom="0.75" header="0.3" footer="0.3"/>
  <pageSetup paperSize="9" scale="2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9837-7E33-45F6-9F33-29425E40258B}">
  <dimension ref="A1:I198"/>
  <sheetViews>
    <sheetView view="pageBreakPreview" zoomScale="85" zoomScaleNormal="100" zoomScaleSheetLayoutView="85" workbookViewId="0"/>
  </sheetViews>
  <sheetFormatPr defaultRowHeight="15.75" x14ac:dyDescent="0.45"/>
  <cols>
    <col min="1" max="1" width="19.5546875" style="4" customWidth="1"/>
    <col min="2" max="2" width="78.77734375" style="4" customWidth="1"/>
    <col min="3" max="3" width="16" style="4" bestFit="1" customWidth="1"/>
    <col min="4" max="4" width="12.21875" style="4" bestFit="1" customWidth="1"/>
    <col min="5" max="5" width="23.33203125" style="4" bestFit="1" customWidth="1"/>
    <col min="6" max="6" width="8.21875" style="4" bestFit="1" customWidth="1"/>
    <col min="7" max="7" width="22.6640625" style="4" bestFit="1" customWidth="1"/>
    <col min="8" max="8" width="18.44140625" style="4" bestFit="1" customWidth="1"/>
    <col min="9" max="9" width="11.109375" style="4" bestFit="1" customWidth="1"/>
    <col min="10" max="10" width="10.88671875" style="4" bestFit="1" customWidth="1"/>
    <col min="11" max="16384" width="8.88671875" style="4"/>
  </cols>
  <sheetData>
    <row r="1" spans="1:9" x14ac:dyDescent="0.45">
      <c r="A1" s="9" t="s">
        <v>56</v>
      </c>
    </row>
    <row r="2" spans="1:9" x14ac:dyDescent="0.45">
      <c r="A2" s="12" t="s">
        <v>93</v>
      </c>
    </row>
    <row r="3" spans="1:9" x14ac:dyDescent="0.45">
      <c r="A3" s="12" t="s">
        <v>398</v>
      </c>
    </row>
    <row r="4" spans="1:9" x14ac:dyDescent="0.45">
      <c r="A4" s="12" t="s">
        <v>399</v>
      </c>
    </row>
    <row r="5" spans="1:9" x14ac:dyDescent="0.45">
      <c r="A5" s="72" t="s">
        <v>297</v>
      </c>
      <c r="B5" s="72" t="s">
        <v>91</v>
      </c>
      <c r="C5" s="72" t="s">
        <v>30</v>
      </c>
      <c r="D5" s="72" t="s">
        <v>31</v>
      </c>
      <c r="E5" s="72" t="s">
        <v>122</v>
      </c>
      <c r="F5" s="72" t="s">
        <v>33</v>
      </c>
      <c r="G5" s="72" t="s">
        <v>123</v>
      </c>
      <c r="H5" s="72" t="s">
        <v>149</v>
      </c>
      <c r="I5" s="72" t="s">
        <v>34</v>
      </c>
    </row>
    <row r="6" spans="1:9" x14ac:dyDescent="0.45">
      <c r="A6" s="39" t="s">
        <v>566</v>
      </c>
      <c r="B6" s="6" t="s">
        <v>527</v>
      </c>
      <c r="C6" s="39" t="str" cm="1">
        <f t="array" ref="C6">TRIM(INDEX(_xlfn.TEXTSPLIT(B6, " "), 1))</f>
        <v>08:14:43.869927</v>
      </c>
      <c r="D6" s="39" t="str" cm="1">
        <f t="array" ref="D6">TRIM(INDEX(_xlfn.TEXTSPLIT(B6, " "), 2))</f>
        <v>IP</v>
      </c>
      <c r="E6" s="67" t="str" cm="1">
        <f t="array" ref="E6">TRIM(INDEX(_xlfn.TEXTSPLIT(B6, " "), 3))</f>
        <v>192.168.100.26.60413</v>
      </c>
      <c r="F6" s="67" t="str" cm="1">
        <f t="array" ref="F6">TRIM(INDEX(_xlfn.TEXTSPLIT(B6, " "), 4))</f>
        <v>&gt;</v>
      </c>
      <c r="G6" s="67" t="str" cm="1">
        <f t="array" ref="G6">_xlfn.LET(
    _xlpm.v, TRIM(INDEX(_xlfn.TEXTSPLIT(B6, " "), 5)),
    IF(RIGHT(_xlpm.v,1)=":", LEFT(_xlpm.v, LEN(_xlpm.v)-1), _xlpm.v)
)</f>
        <v>192.168.100.31.syslog</v>
      </c>
      <c r="H6" s="39" t="str">
        <f t="shared" ref="H6:H14" si="0">TRIM(MID(B6, FIND("SYSLOG", B6), 18))</f>
        <v>SYSLOG user.notice</v>
      </c>
      <c r="I6" s="39" t="str">
        <f>TRIM(MID(B6, FIND("length: ", B6), LEN(B6) - FIND("length: ", B6)+1))</f>
        <v>length: 63</v>
      </c>
    </row>
    <row r="7" spans="1:9" x14ac:dyDescent="0.45">
      <c r="A7" s="39" t="s">
        <v>567</v>
      </c>
      <c r="B7" s="6" t="s">
        <v>528</v>
      </c>
      <c r="C7" s="39" t="str" cm="1">
        <f t="array" ref="C7">TRIM(INDEX(_xlfn.TEXTSPLIT(B7, " "), 1))</f>
        <v>08:14:51.467636</v>
      </c>
      <c r="D7" s="39" t="str" cm="1">
        <f t="array" ref="D7">TRIM(INDEX(_xlfn.TEXTSPLIT(B7, " "), 2))</f>
        <v>IP</v>
      </c>
      <c r="E7" s="67" t="str" cm="1">
        <f t="array" ref="E7">TRIM(INDEX(_xlfn.TEXTSPLIT(B7, " "), 3))</f>
        <v>192.168.100.27.45238</v>
      </c>
      <c r="F7" s="67" t="str" cm="1">
        <f t="array" ref="F7">TRIM(INDEX(_xlfn.TEXTSPLIT(B7, " "), 4))</f>
        <v>&gt;</v>
      </c>
      <c r="G7" s="67" t="str" cm="1">
        <f t="array" ref="G7">_xlfn.LET(
    _xlpm.v, TRIM(INDEX(_xlfn.TEXTSPLIT(B7, " "), 5)),
    IF(RIGHT(_xlpm.v,1)=":", LEFT(_xlpm.v, LEN(_xlpm.v)-1), _xlpm.v)
)</f>
        <v>192.168.100.31.syslog</v>
      </c>
      <c r="H7" s="39" t="str">
        <f t="shared" si="0"/>
        <v>SYSLOG user.notice</v>
      </c>
      <c r="I7" s="39" t="str">
        <f t="shared" ref="I7:I14" si="1">TRIM(MID(B7, FIND("length: ", B7), LEN(B7) - FIND("length: ", B7)+1))</f>
        <v>length: 61</v>
      </c>
    </row>
    <row r="8" spans="1:9" x14ac:dyDescent="0.45">
      <c r="A8" s="39" t="s">
        <v>568</v>
      </c>
      <c r="B8" s="6" t="s">
        <v>529</v>
      </c>
      <c r="C8" s="39" t="str" cm="1">
        <f t="array" ref="C8">TRIM(INDEX(_xlfn.TEXTSPLIT(B8, " "), 1))</f>
        <v>08:14:59.646053</v>
      </c>
      <c r="D8" s="39" t="str" cm="1">
        <f t="array" ref="D8">TRIM(INDEX(_xlfn.TEXTSPLIT(B8, " "), 2))</f>
        <v>IP</v>
      </c>
      <c r="E8" s="67" t="str" cm="1">
        <f t="array" ref="E8">TRIM(INDEX(_xlfn.TEXTSPLIT(B8, " "), 3))</f>
        <v>192.168.100.28.60779</v>
      </c>
      <c r="F8" s="67" t="str" cm="1">
        <f t="array" ref="F8">TRIM(INDEX(_xlfn.TEXTSPLIT(B8, " "), 4))</f>
        <v>&gt;</v>
      </c>
      <c r="G8" s="67" t="str" cm="1">
        <f t="array" ref="G8">_xlfn.LET(
    _xlpm.v, TRIM(INDEX(_xlfn.TEXTSPLIT(B8, " "), 5)),
    IF(RIGHT(_xlpm.v,1)=":", LEFT(_xlpm.v, LEN(_xlpm.v)-1), _xlpm.v)
)</f>
        <v>192.168.100.31.syslog</v>
      </c>
      <c r="H8" s="39" t="str">
        <f t="shared" si="0"/>
        <v>SYSLOG user.notice</v>
      </c>
      <c r="I8" s="39" t="str">
        <f t="shared" si="1"/>
        <v>length: 61</v>
      </c>
    </row>
    <row r="9" spans="1:9" x14ac:dyDescent="0.45">
      <c r="A9" s="39" t="s">
        <v>570</v>
      </c>
      <c r="B9" s="6" t="s">
        <v>530</v>
      </c>
      <c r="C9" s="39" t="str" cm="1">
        <f t="array" ref="C9">TRIM(INDEX(_xlfn.TEXTSPLIT(B9, " "), 1))</f>
        <v>08:15:06.596171</v>
      </c>
      <c r="D9" s="39" t="str" cm="1">
        <f t="array" ref="D9">TRIM(INDEX(_xlfn.TEXTSPLIT(B9, " "), 2))</f>
        <v>IP</v>
      </c>
      <c r="E9" s="67" t="str" cm="1">
        <f t="array" ref="E9">TRIM(INDEX(_xlfn.TEXTSPLIT(B9, " "), 3))</f>
        <v>192.168.100.29.57059</v>
      </c>
      <c r="F9" s="67" t="str" cm="1">
        <f t="array" ref="F9">TRIM(INDEX(_xlfn.TEXTSPLIT(B9, " "), 4))</f>
        <v>&gt;</v>
      </c>
      <c r="G9" s="67" t="str" cm="1">
        <f t="array" ref="G9">_xlfn.LET(
    _xlpm.v, TRIM(INDEX(_xlfn.TEXTSPLIT(B9, " "), 5)),
    IF(RIGHT(_xlpm.v,1)=":", LEFT(_xlpm.v, LEN(_xlpm.v)-1), _xlpm.v)
)</f>
        <v>192.168.100.31.syslog</v>
      </c>
      <c r="H9" s="39" t="str">
        <f t="shared" si="0"/>
        <v>SYSLOG user.notice</v>
      </c>
      <c r="I9" s="39" t="str">
        <f t="shared" si="1"/>
        <v>length: 60</v>
      </c>
    </row>
    <row r="10" spans="1:9" x14ac:dyDescent="0.45">
      <c r="A10" s="39" t="s">
        <v>388</v>
      </c>
      <c r="B10" s="6" t="s">
        <v>531</v>
      </c>
      <c r="C10" s="39" t="str" cm="1">
        <f t="array" ref="C10">TRIM(INDEX(_xlfn.TEXTSPLIT(B10, " "), 1))</f>
        <v>08:15:10.674801</v>
      </c>
      <c r="D10" s="39" t="str" cm="1">
        <f t="array" ref="D10">TRIM(INDEX(_xlfn.TEXTSPLIT(B10, " "), 2))</f>
        <v>IP</v>
      </c>
      <c r="E10" s="67" t="str" cm="1">
        <f t="array" ref="E10">TRIM(INDEX(_xlfn.TEXTSPLIT(B10, " "), 3))</f>
        <v>192.168.100.30.43167</v>
      </c>
      <c r="F10" s="67" t="str" cm="1">
        <f t="array" ref="F10">TRIM(INDEX(_xlfn.TEXTSPLIT(B10, " "), 4))</f>
        <v>&gt;</v>
      </c>
      <c r="G10" s="67" t="str" cm="1">
        <f t="array" ref="G10">_xlfn.LET(
    _xlpm.v, TRIM(INDEX(_xlfn.TEXTSPLIT(B10, " "), 5)),
    IF(RIGHT(_xlpm.v,1)=":", LEFT(_xlpm.v, LEN(_xlpm.v)-1), _xlpm.v)
)</f>
        <v>192.168.100.31.syslog</v>
      </c>
      <c r="H10" s="39" t="str">
        <f t="shared" si="0"/>
        <v>SYSLOG user.notice</v>
      </c>
      <c r="I10" s="39" t="str">
        <f t="shared" si="1"/>
        <v>length: 60</v>
      </c>
    </row>
    <row r="11" spans="1:9" x14ac:dyDescent="0.45">
      <c r="A11" s="39" t="s">
        <v>571</v>
      </c>
      <c r="B11" s="6" t="s">
        <v>532</v>
      </c>
      <c r="C11" s="39" t="str" cm="1">
        <f t="array" ref="C11">TRIM(INDEX(_xlfn.TEXTSPLIT(B11, " "), 1))</f>
        <v>08:15:23.060088</v>
      </c>
      <c r="D11" s="39" t="str" cm="1">
        <f t="array" ref="D11">TRIM(INDEX(_xlfn.TEXTSPLIT(B11, " "), 2))</f>
        <v>IP</v>
      </c>
      <c r="E11" s="67" t="str" cm="1">
        <f t="array" ref="E11">TRIM(INDEX(_xlfn.TEXTSPLIT(B11, " "), 3))</f>
        <v>192.168.110.8.50633</v>
      </c>
      <c r="F11" s="67" t="str" cm="1">
        <f t="array" ref="F11">TRIM(INDEX(_xlfn.TEXTSPLIT(B11, " "), 4))</f>
        <v>&gt;</v>
      </c>
      <c r="G11" s="67" t="str" cm="1">
        <f t="array" ref="G11">_xlfn.LET(
    _xlpm.v, TRIM(INDEX(_xlfn.TEXTSPLIT(B11, " "), 5)),
    IF(RIGHT(_xlpm.v,1)=":", LEFT(_xlpm.v, LEN(_xlpm.v)-1), _xlpm.v)
)</f>
        <v>192.168.100.31.syslog</v>
      </c>
      <c r="H11" s="39" t="str">
        <f t="shared" si="0"/>
        <v>SYSLOG user.notice</v>
      </c>
      <c r="I11" s="39" t="str">
        <f t="shared" si="1"/>
        <v>length: 59</v>
      </c>
    </row>
    <row r="12" spans="1:9" x14ac:dyDescent="0.45">
      <c r="A12" s="39" t="s">
        <v>572</v>
      </c>
      <c r="B12" s="6" t="s">
        <v>533</v>
      </c>
      <c r="C12" s="39" t="str" cm="1">
        <f t="array" ref="C12">TRIM(INDEX(_xlfn.TEXTSPLIT(B12, " "), 1))</f>
        <v>08:15:28.490762</v>
      </c>
      <c r="D12" s="39" t="str" cm="1">
        <f t="array" ref="D12">TRIM(INDEX(_xlfn.TEXTSPLIT(B12, " "), 2))</f>
        <v>IP</v>
      </c>
      <c r="E12" s="67" t="str" cm="1">
        <f t="array" ref="E12">TRIM(INDEX(_xlfn.TEXTSPLIT(B12, " "), 3))</f>
        <v>192.168.110.9.60889</v>
      </c>
      <c r="F12" s="67" t="str" cm="1">
        <f t="array" ref="F12">TRIM(INDEX(_xlfn.TEXTSPLIT(B12, " "), 4))</f>
        <v>&gt;</v>
      </c>
      <c r="G12" s="67" t="str" cm="1">
        <f t="array" ref="G12">_xlfn.LET(
    _xlpm.v, TRIM(INDEX(_xlfn.TEXTSPLIT(B12, " "), 5)),
    IF(RIGHT(_xlpm.v,1)=":", LEFT(_xlpm.v, LEN(_xlpm.v)-1), _xlpm.v)
)</f>
        <v>192.168.100.31.syslog</v>
      </c>
      <c r="H12" s="39" t="str">
        <f t="shared" si="0"/>
        <v>SYSLOG user.notice</v>
      </c>
      <c r="I12" s="39" t="str">
        <f t="shared" si="1"/>
        <v>length: 60</v>
      </c>
    </row>
    <row r="13" spans="1:9" x14ac:dyDescent="0.45">
      <c r="A13" s="39" t="s">
        <v>573</v>
      </c>
      <c r="B13" s="6" t="s">
        <v>534</v>
      </c>
      <c r="C13" s="39" t="str" cm="1">
        <f t="array" ref="C13">TRIM(INDEX(_xlfn.TEXTSPLIT(B13, " "), 1))</f>
        <v>08:15:33.226850</v>
      </c>
      <c r="D13" s="39" t="str" cm="1">
        <f t="array" ref="D13">TRIM(INDEX(_xlfn.TEXTSPLIT(B13, " "), 2))</f>
        <v>IP</v>
      </c>
      <c r="E13" s="67" t="str" cm="1">
        <f t="array" ref="E13">TRIM(INDEX(_xlfn.TEXTSPLIT(B13, " "), 3))</f>
        <v>192.168.110.10.49032</v>
      </c>
      <c r="F13" s="67" t="str" cm="1">
        <f t="array" ref="F13">TRIM(INDEX(_xlfn.TEXTSPLIT(B13, " "), 4))</f>
        <v>&gt;</v>
      </c>
      <c r="G13" s="67" t="str" cm="1">
        <f t="array" ref="G13">_xlfn.LET(
    _xlpm.v, TRIM(INDEX(_xlfn.TEXTSPLIT(B13, " "), 5)),
    IF(RIGHT(_xlpm.v,1)=":", LEFT(_xlpm.v, LEN(_xlpm.v)-1), _xlpm.v)
)</f>
        <v>192.168.100.31.syslog</v>
      </c>
      <c r="H13" s="39" t="str">
        <f t="shared" si="0"/>
        <v>SYSLOG user.notice</v>
      </c>
      <c r="I13" s="39" t="str">
        <f t="shared" si="1"/>
        <v>length: 59</v>
      </c>
    </row>
    <row r="14" spans="1:9" x14ac:dyDescent="0.45">
      <c r="A14" s="39" t="s">
        <v>574</v>
      </c>
      <c r="B14" s="6" t="s">
        <v>535</v>
      </c>
      <c r="C14" s="39" t="str" cm="1">
        <f t="array" ref="C14">TRIM(INDEX(_xlfn.TEXTSPLIT(B14, " "), 1))</f>
        <v>08:15:37.426033</v>
      </c>
      <c r="D14" s="39" t="str" cm="1">
        <f t="array" ref="D14">TRIM(INDEX(_xlfn.TEXTSPLIT(B14, " "), 2))</f>
        <v>IP</v>
      </c>
      <c r="E14" s="67" t="str" cm="1">
        <f t="array" ref="E14">TRIM(INDEX(_xlfn.TEXTSPLIT(B14, " "), 3))</f>
        <v>192.168.120.7.33897</v>
      </c>
      <c r="F14" s="67" t="str" cm="1">
        <f t="array" ref="F14">TRIM(INDEX(_xlfn.TEXTSPLIT(B14, " "), 4))</f>
        <v>&gt;</v>
      </c>
      <c r="G14" s="67" t="str" cm="1">
        <f t="array" ref="G14">_xlfn.LET(
    _xlpm.v, TRIM(INDEX(_xlfn.TEXTSPLIT(B14, " "), 5)),
    IF(RIGHT(_xlpm.v,1)=":", LEFT(_xlpm.v, LEN(_xlpm.v)-1), _xlpm.v)
)</f>
        <v>192.168.100.31.syslog</v>
      </c>
      <c r="H14" s="39" t="str">
        <f t="shared" si="0"/>
        <v>SYSLOG user.notice</v>
      </c>
      <c r="I14" s="39" t="str">
        <f t="shared" si="1"/>
        <v>length: 59</v>
      </c>
    </row>
    <row r="15" spans="1:9" x14ac:dyDescent="0.45">
      <c r="A15" s="4" t="s">
        <v>127</v>
      </c>
    </row>
    <row r="16" spans="1:9" x14ac:dyDescent="0.45">
      <c r="A16" s="4" t="s">
        <v>150</v>
      </c>
    </row>
    <row r="18" spans="1:1" x14ac:dyDescent="0.45">
      <c r="A18" s="12" t="s">
        <v>263</v>
      </c>
    </row>
    <row r="19" spans="1:1" x14ac:dyDescent="0.45">
      <c r="A19" s="4" t="s">
        <v>402</v>
      </c>
    </row>
    <row r="20" spans="1:1" x14ac:dyDescent="0.45">
      <c r="A20" s="4" t="s">
        <v>403</v>
      </c>
    </row>
    <row r="21" spans="1:1" x14ac:dyDescent="0.45">
      <c r="A21" s="4" t="s">
        <v>35</v>
      </c>
    </row>
    <row r="22" spans="1:1" x14ac:dyDescent="0.45">
      <c r="A22" s="4" t="s">
        <v>36</v>
      </c>
    </row>
    <row r="23" spans="1:1" x14ac:dyDescent="0.45">
      <c r="A23" s="4" t="s">
        <v>32</v>
      </c>
    </row>
    <row r="24" spans="1:1" x14ac:dyDescent="0.45">
      <c r="A24" s="4" t="s">
        <v>404</v>
      </c>
    </row>
    <row r="25" spans="1:1" x14ac:dyDescent="0.45">
      <c r="A25" s="4" t="s">
        <v>405</v>
      </c>
    </row>
    <row r="26" spans="1:1" x14ac:dyDescent="0.45">
      <c r="A26" s="4" t="s">
        <v>406</v>
      </c>
    </row>
    <row r="27" spans="1:1" x14ac:dyDescent="0.45">
      <c r="A27" s="4" t="s">
        <v>407</v>
      </c>
    </row>
    <row r="28" spans="1:1" x14ac:dyDescent="0.45">
      <c r="A28" s="4" t="s">
        <v>408</v>
      </c>
    </row>
    <row r="29" spans="1:1" x14ac:dyDescent="0.45">
      <c r="A29" s="4" t="s">
        <v>409</v>
      </c>
    </row>
    <row r="30" spans="1:1" x14ac:dyDescent="0.45">
      <c r="A30" s="4" t="s">
        <v>410</v>
      </c>
    </row>
    <row r="31" spans="1:1" x14ac:dyDescent="0.45">
      <c r="A31" s="4" t="s">
        <v>411</v>
      </c>
    </row>
    <row r="32" spans="1:1" x14ac:dyDescent="0.45">
      <c r="A32" s="4" t="s">
        <v>412</v>
      </c>
    </row>
    <row r="33" spans="1:1" x14ac:dyDescent="0.45">
      <c r="A33" s="4" t="s">
        <v>413</v>
      </c>
    </row>
    <row r="34" spans="1:1" x14ac:dyDescent="0.45">
      <c r="A34" s="4" t="s">
        <v>414</v>
      </c>
    </row>
    <row r="35" spans="1:1" x14ac:dyDescent="0.45">
      <c r="A35" s="4" t="s">
        <v>415</v>
      </c>
    </row>
    <row r="36" spans="1:1" x14ac:dyDescent="0.45">
      <c r="A36" s="4" t="s">
        <v>416</v>
      </c>
    </row>
    <row r="37" spans="1:1" x14ac:dyDescent="0.45">
      <c r="A37" s="4" t="s">
        <v>417</v>
      </c>
    </row>
    <row r="38" spans="1:1" x14ac:dyDescent="0.45">
      <c r="A38" s="4" t="s">
        <v>418</v>
      </c>
    </row>
    <row r="39" spans="1:1" x14ac:dyDescent="0.45">
      <c r="A39" s="4" t="s">
        <v>419</v>
      </c>
    </row>
    <row r="40" spans="1:1" x14ac:dyDescent="0.45">
      <c r="A40" s="4" t="s">
        <v>420</v>
      </c>
    </row>
    <row r="41" spans="1:1" x14ac:dyDescent="0.45">
      <c r="A41" s="4" t="s">
        <v>421</v>
      </c>
    </row>
    <row r="42" spans="1:1" x14ac:dyDescent="0.45">
      <c r="A42" s="4" t="s">
        <v>422</v>
      </c>
    </row>
    <row r="43" spans="1:1" x14ac:dyDescent="0.45">
      <c r="A43" s="4" t="s">
        <v>423</v>
      </c>
    </row>
    <row r="44" spans="1:1" x14ac:dyDescent="0.45">
      <c r="A44" s="4" t="s">
        <v>424</v>
      </c>
    </row>
    <row r="45" spans="1:1" x14ac:dyDescent="0.45">
      <c r="A45" s="4" t="s">
        <v>425</v>
      </c>
    </row>
    <row r="46" spans="1:1" x14ac:dyDescent="0.45">
      <c r="A46" s="4" t="s">
        <v>426</v>
      </c>
    </row>
    <row r="47" spans="1:1" x14ac:dyDescent="0.45">
      <c r="A47" s="4" t="s">
        <v>427</v>
      </c>
    </row>
    <row r="48" spans="1:1" x14ac:dyDescent="0.45">
      <c r="A48" s="4" t="s">
        <v>428</v>
      </c>
    </row>
    <row r="49" spans="1:1" x14ac:dyDescent="0.45">
      <c r="A49" s="4" t="s">
        <v>429</v>
      </c>
    </row>
    <row r="50" spans="1:1" x14ac:dyDescent="0.45">
      <c r="A50" s="4" t="s">
        <v>430</v>
      </c>
    </row>
    <row r="51" spans="1:1" x14ac:dyDescent="0.45">
      <c r="A51" s="4" t="s">
        <v>431</v>
      </c>
    </row>
    <row r="52" spans="1:1" x14ac:dyDescent="0.45">
      <c r="A52" s="4" t="s">
        <v>432</v>
      </c>
    </row>
    <row r="53" spans="1:1" x14ac:dyDescent="0.45">
      <c r="A53" s="4" t="s">
        <v>433</v>
      </c>
    </row>
    <row r="54" spans="1:1" x14ac:dyDescent="0.45">
      <c r="A54" s="4" t="s">
        <v>434</v>
      </c>
    </row>
    <row r="55" spans="1:1" x14ac:dyDescent="0.45">
      <c r="A55" s="4" t="s">
        <v>435</v>
      </c>
    </row>
    <row r="56" spans="1:1" x14ac:dyDescent="0.45">
      <c r="A56" s="4" t="s">
        <v>436</v>
      </c>
    </row>
    <row r="57" spans="1:1" x14ac:dyDescent="0.45">
      <c r="A57" s="4" t="s">
        <v>437</v>
      </c>
    </row>
    <row r="58" spans="1:1" x14ac:dyDescent="0.45">
      <c r="A58" s="4" t="s">
        <v>438</v>
      </c>
    </row>
    <row r="59" spans="1:1" x14ac:dyDescent="0.45">
      <c r="A59" s="4" t="s">
        <v>439</v>
      </c>
    </row>
    <row r="60" spans="1:1" x14ac:dyDescent="0.45">
      <c r="A60" s="4" t="s">
        <v>440</v>
      </c>
    </row>
    <row r="61" spans="1:1" x14ac:dyDescent="0.45">
      <c r="A61" s="4" t="s">
        <v>441</v>
      </c>
    </row>
    <row r="62" spans="1:1" x14ac:dyDescent="0.45">
      <c r="A62" s="4" t="s">
        <v>442</v>
      </c>
    </row>
    <row r="63" spans="1:1" x14ac:dyDescent="0.45">
      <c r="A63" s="4" t="s">
        <v>443</v>
      </c>
    </row>
    <row r="64" spans="1:1" x14ac:dyDescent="0.45">
      <c r="A64" s="4" t="s">
        <v>444</v>
      </c>
    </row>
    <row r="65" spans="1:1" x14ac:dyDescent="0.45">
      <c r="A65" s="4" t="s">
        <v>445</v>
      </c>
    </row>
    <row r="66" spans="1:1" x14ac:dyDescent="0.45">
      <c r="A66" s="4" t="s">
        <v>446</v>
      </c>
    </row>
    <row r="67" spans="1:1" x14ac:dyDescent="0.45">
      <c r="A67" s="4" t="s">
        <v>447</v>
      </c>
    </row>
    <row r="68" spans="1:1" x14ac:dyDescent="0.45">
      <c r="A68" s="4" t="s">
        <v>448</v>
      </c>
    </row>
    <row r="69" spans="1:1" x14ac:dyDescent="0.45">
      <c r="A69" s="4" t="s">
        <v>449</v>
      </c>
    </row>
    <row r="70" spans="1:1" x14ac:dyDescent="0.45">
      <c r="A70" s="4" t="s">
        <v>450</v>
      </c>
    </row>
    <row r="71" spans="1:1" x14ac:dyDescent="0.45">
      <c r="A71" s="4" t="s">
        <v>451</v>
      </c>
    </row>
    <row r="72" spans="1:1" x14ac:dyDescent="0.45">
      <c r="A72" s="4" t="s">
        <v>452</v>
      </c>
    </row>
    <row r="73" spans="1:1" x14ac:dyDescent="0.45">
      <c r="A73" s="4" t="s">
        <v>453</v>
      </c>
    </row>
    <row r="74" spans="1:1" x14ac:dyDescent="0.45">
      <c r="A74" s="4" t="s">
        <v>454</v>
      </c>
    </row>
    <row r="75" spans="1:1" x14ac:dyDescent="0.45">
      <c r="A75" s="4" t="s">
        <v>455</v>
      </c>
    </row>
    <row r="76" spans="1:1" x14ac:dyDescent="0.45">
      <c r="A76" s="4" t="s">
        <v>456</v>
      </c>
    </row>
    <row r="77" spans="1:1" x14ac:dyDescent="0.45">
      <c r="A77" s="4" t="s">
        <v>457</v>
      </c>
    </row>
    <row r="78" spans="1:1" x14ac:dyDescent="0.45">
      <c r="A78" s="4" t="s">
        <v>458</v>
      </c>
    </row>
    <row r="79" spans="1:1" x14ac:dyDescent="0.45">
      <c r="A79" s="4" t="s">
        <v>459</v>
      </c>
    </row>
    <row r="80" spans="1:1" x14ac:dyDescent="0.45">
      <c r="A80" s="4" t="s">
        <v>460</v>
      </c>
    </row>
    <row r="81" spans="1:1" x14ac:dyDescent="0.45">
      <c r="A81" s="4" t="s">
        <v>461</v>
      </c>
    </row>
    <row r="82" spans="1:1" x14ac:dyDescent="0.45">
      <c r="A82" s="4" t="s">
        <v>462</v>
      </c>
    </row>
    <row r="83" spans="1:1" x14ac:dyDescent="0.45">
      <c r="A83" s="4" t="s">
        <v>463</v>
      </c>
    </row>
    <row r="84" spans="1:1" x14ac:dyDescent="0.45">
      <c r="A84" s="4" t="s">
        <v>464</v>
      </c>
    </row>
    <row r="85" spans="1:1" x14ac:dyDescent="0.45">
      <c r="A85" s="4" t="s">
        <v>465</v>
      </c>
    </row>
    <row r="86" spans="1:1" x14ac:dyDescent="0.45">
      <c r="A86" s="4" t="s">
        <v>466</v>
      </c>
    </row>
    <row r="87" spans="1:1" x14ac:dyDescent="0.45">
      <c r="A87" s="4" t="s">
        <v>467</v>
      </c>
    </row>
    <row r="88" spans="1:1" x14ac:dyDescent="0.45">
      <c r="A88" s="4" t="s">
        <v>468</v>
      </c>
    </row>
    <row r="89" spans="1:1" x14ac:dyDescent="0.45">
      <c r="A89" s="4" t="s">
        <v>469</v>
      </c>
    </row>
    <row r="90" spans="1:1" x14ac:dyDescent="0.45">
      <c r="A90" s="4" t="s">
        <v>470</v>
      </c>
    </row>
    <row r="91" spans="1:1" x14ac:dyDescent="0.45">
      <c r="A91" s="4" t="s">
        <v>471</v>
      </c>
    </row>
    <row r="92" spans="1:1" x14ac:dyDescent="0.45">
      <c r="A92" s="4" t="s">
        <v>472</v>
      </c>
    </row>
    <row r="93" spans="1:1" x14ac:dyDescent="0.45">
      <c r="A93" s="4" t="s">
        <v>473</v>
      </c>
    </row>
    <row r="94" spans="1:1" x14ac:dyDescent="0.45">
      <c r="A94" s="4" t="s">
        <v>474</v>
      </c>
    </row>
    <row r="95" spans="1:1" x14ac:dyDescent="0.45">
      <c r="A95" s="4" t="s">
        <v>475</v>
      </c>
    </row>
    <row r="96" spans="1:1" x14ac:dyDescent="0.45">
      <c r="A96" s="4" t="s">
        <v>476</v>
      </c>
    </row>
    <row r="97" spans="1:1" x14ac:dyDescent="0.45">
      <c r="A97" s="4" t="s">
        <v>477</v>
      </c>
    </row>
    <row r="98" spans="1:1" x14ac:dyDescent="0.45">
      <c r="A98" s="4" t="s">
        <v>478</v>
      </c>
    </row>
    <row r="99" spans="1:1" x14ac:dyDescent="0.45">
      <c r="A99" s="4" t="s">
        <v>479</v>
      </c>
    </row>
    <row r="100" spans="1:1" x14ac:dyDescent="0.45">
      <c r="A100" s="4" t="s">
        <v>480</v>
      </c>
    </row>
    <row r="101" spans="1:1" x14ac:dyDescent="0.45">
      <c r="A101" s="4" t="s">
        <v>481</v>
      </c>
    </row>
    <row r="102" spans="1:1" x14ac:dyDescent="0.45">
      <c r="A102" s="4" t="s">
        <v>482</v>
      </c>
    </row>
    <row r="103" spans="1:1" x14ac:dyDescent="0.45">
      <c r="A103" s="4" t="s">
        <v>483</v>
      </c>
    </row>
    <row r="104" spans="1:1" x14ac:dyDescent="0.45">
      <c r="A104" s="4" t="s">
        <v>484</v>
      </c>
    </row>
    <row r="105" spans="1:1" x14ac:dyDescent="0.45">
      <c r="A105" s="4" t="s">
        <v>485</v>
      </c>
    </row>
    <row r="106" spans="1:1" x14ac:dyDescent="0.45">
      <c r="A106" s="4" t="s">
        <v>486</v>
      </c>
    </row>
    <row r="107" spans="1:1" x14ac:dyDescent="0.45">
      <c r="A107" s="4" t="s">
        <v>487</v>
      </c>
    </row>
    <row r="108" spans="1:1" x14ac:dyDescent="0.45">
      <c r="A108" s="4" t="s">
        <v>488</v>
      </c>
    </row>
    <row r="109" spans="1:1" x14ac:dyDescent="0.45">
      <c r="A109" s="4" t="s">
        <v>489</v>
      </c>
    </row>
    <row r="110" spans="1:1" x14ac:dyDescent="0.45">
      <c r="A110" s="4" t="s">
        <v>490</v>
      </c>
    </row>
    <row r="111" spans="1:1" x14ac:dyDescent="0.45">
      <c r="A111" s="4" t="s">
        <v>491</v>
      </c>
    </row>
    <row r="112" spans="1:1" x14ac:dyDescent="0.45">
      <c r="A112" s="4" t="s">
        <v>492</v>
      </c>
    </row>
    <row r="113" spans="1:1" x14ac:dyDescent="0.45">
      <c r="A113" s="4" t="s">
        <v>493</v>
      </c>
    </row>
    <row r="114" spans="1:1" x14ac:dyDescent="0.45">
      <c r="A114" s="4" t="s">
        <v>494</v>
      </c>
    </row>
    <row r="115" spans="1:1" x14ac:dyDescent="0.45">
      <c r="A115" s="4" t="s">
        <v>495</v>
      </c>
    </row>
    <row r="116" spans="1:1" x14ac:dyDescent="0.45">
      <c r="A116" s="4" t="s">
        <v>496</v>
      </c>
    </row>
    <row r="117" spans="1:1" x14ac:dyDescent="0.45">
      <c r="A117" s="4" t="s">
        <v>497</v>
      </c>
    </row>
    <row r="118" spans="1:1" x14ac:dyDescent="0.45">
      <c r="A118" s="4" t="s">
        <v>498</v>
      </c>
    </row>
    <row r="119" spans="1:1" x14ac:dyDescent="0.45">
      <c r="A119" s="4" t="s">
        <v>499</v>
      </c>
    </row>
    <row r="120" spans="1:1" x14ac:dyDescent="0.45">
      <c r="A120" s="4" t="s">
        <v>500</v>
      </c>
    </row>
    <row r="121" spans="1:1" x14ac:dyDescent="0.45">
      <c r="A121" s="4" t="s">
        <v>501</v>
      </c>
    </row>
    <row r="122" spans="1:1" x14ac:dyDescent="0.45">
      <c r="A122" s="4" t="s">
        <v>502</v>
      </c>
    </row>
    <row r="123" spans="1:1" x14ac:dyDescent="0.45">
      <c r="A123" s="4" t="s">
        <v>503</v>
      </c>
    </row>
    <row r="124" spans="1:1" x14ac:dyDescent="0.45">
      <c r="A124" s="4" t="s">
        <v>504</v>
      </c>
    </row>
    <row r="125" spans="1:1" x14ac:dyDescent="0.45">
      <c r="A125" s="4" t="s">
        <v>505</v>
      </c>
    </row>
    <row r="126" spans="1:1" x14ac:dyDescent="0.45">
      <c r="A126" s="4" t="s">
        <v>506</v>
      </c>
    </row>
    <row r="127" spans="1:1" x14ac:dyDescent="0.45">
      <c r="A127" s="4" t="s">
        <v>507</v>
      </c>
    </row>
    <row r="128" spans="1:1" x14ac:dyDescent="0.45">
      <c r="A128" s="4" t="s">
        <v>508</v>
      </c>
    </row>
    <row r="129" spans="1:1" x14ac:dyDescent="0.45">
      <c r="A129" s="4" t="s">
        <v>509</v>
      </c>
    </row>
    <row r="130" spans="1:1" x14ac:dyDescent="0.45">
      <c r="A130" s="4" t="s">
        <v>510</v>
      </c>
    </row>
    <row r="131" spans="1:1" x14ac:dyDescent="0.45">
      <c r="A131" s="4" t="s">
        <v>511</v>
      </c>
    </row>
    <row r="132" spans="1:1" x14ac:dyDescent="0.45">
      <c r="A132" s="4" t="s">
        <v>512</v>
      </c>
    </row>
    <row r="133" spans="1:1" x14ac:dyDescent="0.45">
      <c r="A133" s="4" t="s">
        <v>513</v>
      </c>
    </row>
    <row r="134" spans="1:1" x14ac:dyDescent="0.45">
      <c r="A134" s="4" t="s">
        <v>514</v>
      </c>
    </row>
    <row r="135" spans="1:1" x14ac:dyDescent="0.45">
      <c r="A135" s="4" t="s">
        <v>515</v>
      </c>
    </row>
    <row r="136" spans="1:1" x14ac:dyDescent="0.45">
      <c r="A136" s="4" t="s">
        <v>516</v>
      </c>
    </row>
    <row r="137" spans="1:1" x14ac:dyDescent="0.45">
      <c r="A137" s="4" t="s">
        <v>517</v>
      </c>
    </row>
    <row r="138" spans="1:1" x14ac:dyDescent="0.45">
      <c r="A138" s="4" t="s">
        <v>518</v>
      </c>
    </row>
    <row r="139" spans="1:1" x14ac:dyDescent="0.45">
      <c r="A139" s="4" t="s">
        <v>519</v>
      </c>
    </row>
    <row r="140" spans="1:1" x14ac:dyDescent="0.45">
      <c r="A140" s="4" t="s">
        <v>520</v>
      </c>
    </row>
    <row r="141" spans="1:1" x14ac:dyDescent="0.45">
      <c r="A141" s="4" t="s">
        <v>521</v>
      </c>
    </row>
    <row r="142" spans="1:1" x14ac:dyDescent="0.45">
      <c r="A142" s="4" t="s">
        <v>522</v>
      </c>
    </row>
    <row r="143" spans="1:1" x14ac:dyDescent="0.45">
      <c r="A143" s="4" t="s">
        <v>523</v>
      </c>
    </row>
    <row r="144" spans="1:1" x14ac:dyDescent="0.45">
      <c r="A144" s="4" t="s">
        <v>524</v>
      </c>
    </row>
    <row r="145" spans="1:1" x14ac:dyDescent="0.45">
      <c r="A145" s="4" t="s">
        <v>525</v>
      </c>
    </row>
    <row r="146" spans="1:1" x14ac:dyDescent="0.45">
      <c r="A146" s="4" t="s">
        <v>526</v>
      </c>
    </row>
    <row r="147" spans="1:1" x14ac:dyDescent="0.45">
      <c r="A147" s="23" t="s">
        <v>527</v>
      </c>
    </row>
    <row r="148" spans="1:1" x14ac:dyDescent="0.45">
      <c r="A148" s="23" t="s">
        <v>528</v>
      </c>
    </row>
    <row r="149" spans="1:1" x14ac:dyDescent="0.45">
      <c r="A149" s="23" t="s">
        <v>529</v>
      </c>
    </row>
    <row r="150" spans="1:1" x14ac:dyDescent="0.45">
      <c r="A150" s="23" t="s">
        <v>530</v>
      </c>
    </row>
    <row r="151" spans="1:1" x14ac:dyDescent="0.45">
      <c r="A151" s="23" t="s">
        <v>531</v>
      </c>
    </row>
    <row r="152" spans="1:1" x14ac:dyDescent="0.45">
      <c r="A152" s="23" t="s">
        <v>532</v>
      </c>
    </row>
    <row r="153" spans="1:1" x14ac:dyDescent="0.45">
      <c r="A153" s="23" t="s">
        <v>533</v>
      </c>
    </row>
    <row r="154" spans="1:1" x14ac:dyDescent="0.45">
      <c r="A154" s="23" t="s">
        <v>534</v>
      </c>
    </row>
    <row r="155" spans="1:1" x14ac:dyDescent="0.45">
      <c r="A155" s="23" t="s">
        <v>535</v>
      </c>
    </row>
    <row r="156" spans="1:1" x14ac:dyDescent="0.45">
      <c r="A156" s="4" t="s">
        <v>536</v>
      </c>
    </row>
    <row r="157" spans="1:1" x14ac:dyDescent="0.45">
      <c r="A157" s="12"/>
    </row>
    <row r="158" spans="1:1" x14ac:dyDescent="0.45">
      <c r="A158" s="4" t="s">
        <v>537</v>
      </c>
    </row>
    <row r="159" spans="1:1" x14ac:dyDescent="0.45">
      <c r="A159" s="4" t="s">
        <v>538</v>
      </c>
    </row>
    <row r="160" spans="1:1" x14ac:dyDescent="0.45">
      <c r="A160" s="4" t="s">
        <v>38</v>
      </c>
    </row>
    <row r="161" spans="1:1" x14ac:dyDescent="0.45">
      <c r="A161" s="4" t="s">
        <v>281</v>
      </c>
    </row>
    <row r="163" spans="1:1" x14ac:dyDescent="0.45">
      <c r="A163" s="12" t="s">
        <v>400</v>
      </c>
    </row>
    <row r="164" spans="1:1" x14ac:dyDescent="0.45">
      <c r="A164" s="4" t="s">
        <v>401</v>
      </c>
    </row>
    <row r="165" spans="1:1" x14ac:dyDescent="0.45">
      <c r="A165" s="4" t="s">
        <v>539</v>
      </c>
    </row>
    <row r="166" spans="1:1" x14ac:dyDescent="0.45">
      <c r="A166" s="4" t="s">
        <v>540</v>
      </c>
    </row>
    <row r="168" spans="1:1" x14ac:dyDescent="0.45">
      <c r="A168" s="4" t="s">
        <v>541</v>
      </c>
    </row>
    <row r="169" spans="1:1" x14ac:dyDescent="0.45">
      <c r="A169" s="4" t="s">
        <v>542</v>
      </c>
    </row>
    <row r="170" spans="1:1" x14ac:dyDescent="0.45">
      <c r="A170" s="4" t="s">
        <v>543</v>
      </c>
    </row>
    <row r="172" spans="1:1" x14ac:dyDescent="0.45">
      <c r="A172" s="4" t="s">
        <v>269</v>
      </c>
    </row>
    <row r="173" spans="1:1" x14ac:dyDescent="0.45">
      <c r="A173" s="4" t="s">
        <v>544</v>
      </c>
    </row>
    <row r="174" spans="1:1" x14ac:dyDescent="0.45">
      <c r="A174" s="4" t="s">
        <v>545</v>
      </c>
    </row>
    <row r="176" spans="1:1" x14ac:dyDescent="0.45">
      <c r="A176" s="4" t="s">
        <v>276</v>
      </c>
    </row>
    <row r="177" spans="1:1" x14ac:dyDescent="0.45">
      <c r="A177" s="4" t="s">
        <v>546</v>
      </c>
    </row>
    <row r="178" spans="1:1" x14ac:dyDescent="0.45">
      <c r="A178" s="4" t="s">
        <v>547</v>
      </c>
    </row>
    <row r="180" spans="1:1" x14ac:dyDescent="0.45">
      <c r="A180" s="4" t="s">
        <v>280</v>
      </c>
    </row>
    <row r="181" spans="1:1" x14ac:dyDescent="0.45">
      <c r="A181" s="4" t="s">
        <v>548</v>
      </c>
    </row>
    <row r="182" spans="1:1" x14ac:dyDescent="0.45">
      <c r="A182" s="4" t="s">
        <v>549</v>
      </c>
    </row>
    <row r="184" spans="1:1" x14ac:dyDescent="0.45">
      <c r="A184" s="4" t="s">
        <v>550</v>
      </c>
    </row>
    <row r="185" spans="1:1" x14ac:dyDescent="0.45">
      <c r="A185" s="4" t="s">
        <v>551</v>
      </c>
    </row>
    <row r="186" spans="1:1" x14ac:dyDescent="0.45">
      <c r="A186" s="4" t="s">
        <v>553</v>
      </c>
    </row>
    <row r="188" spans="1:1" x14ac:dyDescent="0.45">
      <c r="A188" s="4" t="s">
        <v>554</v>
      </c>
    </row>
    <row r="189" spans="1:1" x14ac:dyDescent="0.45">
      <c r="A189" s="4" t="s">
        <v>555</v>
      </c>
    </row>
    <row r="190" spans="1:1" x14ac:dyDescent="0.45">
      <c r="A190" s="4" t="s">
        <v>557</v>
      </c>
    </row>
    <row r="192" spans="1:1" x14ac:dyDescent="0.45">
      <c r="A192" s="4" t="s">
        <v>558</v>
      </c>
    </row>
    <row r="193" spans="1:1" x14ac:dyDescent="0.45">
      <c r="A193" s="4" t="s">
        <v>559</v>
      </c>
    </row>
    <row r="194" spans="1:1" x14ac:dyDescent="0.45">
      <c r="A194" s="4" t="s">
        <v>561</v>
      </c>
    </row>
    <row r="196" spans="1:1" x14ac:dyDescent="0.45">
      <c r="A196" s="4" t="s">
        <v>562</v>
      </c>
    </row>
    <row r="197" spans="1:1" x14ac:dyDescent="0.45">
      <c r="A197" s="4" t="s">
        <v>563</v>
      </c>
    </row>
    <row r="198" spans="1:1" x14ac:dyDescent="0.45">
      <c r="A198" s="4" t="s">
        <v>565</v>
      </c>
    </row>
  </sheetData>
  <phoneticPr fontId="1"/>
  <conditionalFormatting sqref="B5 A5:A14 C6:I14">
    <cfRule type="expression" dxfId="10" priority="1">
      <formula>#REF!="返り"</formula>
    </cfRule>
    <cfRule type="expression" dxfId="9" priority="2">
      <formula>#REF!="行き"</formula>
    </cfRule>
  </conditionalFormatting>
  <hyperlinks>
    <hyperlink ref="A1" location="通信要件一覧!A1" display="※「通信要件一覧」シートに戻る" xr:uid="{010746D6-FF43-42F0-B1D8-C154B07B1E36}"/>
  </hyperlinks>
  <pageMargins left="0.7" right="0.7" top="0.75" bottom="0.75" header="0.3" footer="0.3"/>
  <pageSetup paperSize="9" scale="2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843A-C137-4152-91E7-063FD8A0E78E}">
  <dimension ref="A1:T258"/>
  <sheetViews>
    <sheetView view="pageBreakPreview" zoomScale="70" zoomScaleNormal="70" zoomScaleSheetLayoutView="70" workbookViewId="0"/>
  </sheetViews>
  <sheetFormatPr defaultRowHeight="15.75" x14ac:dyDescent="0.45"/>
  <cols>
    <col min="1" max="1" width="19.44140625" style="4" customWidth="1"/>
    <col min="2" max="2" width="11.21875" style="4" bestFit="1" customWidth="1"/>
    <col min="3" max="3" width="11.21875" style="4" customWidth="1"/>
    <col min="4" max="4" width="22.88671875" style="4" customWidth="1"/>
    <col min="5" max="5" width="16.44140625" style="4" customWidth="1"/>
    <col min="6" max="6" width="23.44140625" style="4" bestFit="1" customWidth="1"/>
    <col min="7" max="7" width="26.33203125" style="4" customWidth="1"/>
    <col min="8" max="8" width="9.21875" style="4" bestFit="1" customWidth="1"/>
    <col min="9" max="9" width="26.33203125" style="4" customWidth="1"/>
    <col min="10" max="10" width="21.5546875" style="4" bestFit="1" customWidth="1"/>
    <col min="11" max="11" width="10.88671875" style="4" bestFit="1" customWidth="1"/>
    <col min="12" max="12" width="15.5546875" style="4" customWidth="1"/>
    <col min="13" max="13" width="25.88671875" style="4" customWidth="1"/>
    <col min="14" max="14" width="11.6640625" style="4" customWidth="1"/>
    <col min="15" max="16384" width="8.88671875" style="4"/>
  </cols>
  <sheetData>
    <row r="1" spans="1:14" x14ac:dyDescent="0.45">
      <c r="A1" s="9" t="s">
        <v>56</v>
      </c>
    </row>
    <row r="2" spans="1:14" x14ac:dyDescent="0.45">
      <c r="A2" s="12" t="s">
        <v>93</v>
      </c>
    </row>
    <row r="3" spans="1:14" x14ac:dyDescent="0.45">
      <c r="A3" s="12" t="s">
        <v>398</v>
      </c>
    </row>
    <row r="4" spans="1:14" x14ac:dyDescent="0.45">
      <c r="A4" s="12" t="s">
        <v>399</v>
      </c>
    </row>
    <row r="5" spans="1:14" x14ac:dyDescent="0.45">
      <c r="A5" s="68" t="s">
        <v>297</v>
      </c>
      <c r="B5" s="68" t="s">
        <v>575</v>
      </c>
      <c r="C5" s="68" t="s">
        <v>619</v>
      </c>
      <c r="D5" s="68" t="s">
        <v>91</v>
      </c>
      <c r="E5" s="68" t="s">
        <v>30</v>
      </c>
      <c r="F5" s="68" t="s">
        <v>31</v>
      </c>
      <c r="G5" s="68" t="s">
        <v>122</v>
      </c>
      <c r="H5" s="68" t="s">
        <v>33</v>
      </c>
      <c r="I5" s="68" t="s">
        <v>123</v>
      </c>
      <c r="J5" s="68" t="s">
        <v>151</v>
      </c>
      <c r="K5" s="68" t="s">
        <v>152</v>
      </c>
      <c r="L5" s="68" t="s">
        <v>153</v>
      </c>
      <c r="M5" s="68" t="s">
        <v>855</v>
      </c>
      <c r="N5" s="68" t="s">
        <v>34</v>
      </c>
    </row>
    <row r="6" spans="1:14" x14ac:dyDescent="0.45">
      <c r="A6" s="6" t="s">
        <v>380</v>
      </c>
      <c r="B6" s="6" t="str">
        <f>IF(L6="A?","行き",IF(L6="A","返り",IF(L6="PTR?","行き",IF(L6="PTR","返り",""))))</f>
        <v>行き</v>
      </c>
      <c r="C6" s="6" t="str">
        <f>IF(L6="A?","正引き",IF(L6="A","正引き",IF(L6="PTR?","逆引き",IF(L6="PTR","逆引き",""))))</f>
        <v>正引き</v>
      </c>
      <c r="D6" s="6" t="s">
        <v>851</v>
      </c>
      <c r="E6" s="39" t="str" cm="1">
        <f t="array" ref="E6">TRIM(INDEX(_xlfn.TEXTSPLIT(D6, " "), 1))</f>
        <v>08:34:43.084096</v>
      </c>
      <c r="F6" s="39" t="str" cm="1">
        <f t="array" ref="F6">TRIM(INDEX(_xlfn.TEXTSPLIT(D6, " "), 2))</f>
        <v>IP</v>
      </c>
      <c r="G6" s="39" t="str" cm="1">
        <f t="array" ref="G6">TRIM(INDEX(_xlfn.TEXTSPLIT(D6, " "), 3))</f>
        <v>192.168.100.26.60797</v>
      </c>
      <c r="H6" s="39" t="str" cm="1">
        <f t="array" ref="H6">TRIM(INDEX(_xlfn.TEXTSPLIT(D6, " "), 4))</f>
        <v>&gt;</v>
      </c>
      <c r="I6" s="39" t="str" cm="1">
        <f t="array" ref="I6">_xlfn.LET(
    _xlpm.v, TRIM(INDEX(_xlfn.TEXTSPLIT(D6, " "), 5)),
    IF(RIGHT(_xlpm.v,1)=":", LEFT(_xlpm.v, LEN(_xlpm.v)-1), _xlpm.v)
)</f>
        <v>192.168.100.29.domain</v>
      </c>
      <c r="J6" s="39" t="str" cm="1">
        <f t="array" ref="J6">TRIM(INDEX(_xlfn.TEXTSPLIT(MID(D6, FIND(":", D6, FIND("&gt;", D6)) + 2, 999), " "), 1))</f>
        <v>43555+</v>
      </c>
      <c r="K6" s="39" t="str" cm="1">
        <f t="array" ref="K6">TRIM(INDEX(_xlfn.TEXTSPLIT(MID(D6, FIND(":", D6, FIND("&gt;", D6)) + 2, 999), " "), 2))</f>
        <v>[1au]</v>
      </c>
      <c r="L6" s="6" t="str" cm="1">
        <f t="array" ref="L6">TRIM(INDEX(_xlfn.TEXTSPLIT(MID(D6, FIND(":", D6, FIND("&gt;", D6)) + 2, 999), " "), 3))</f>
        <v>A?</v>
      </c>
      <c r="M6" s="6" t="str" cm="1">
        <f t="array" ref="M6">TRIM(INDEX(_xlfn.TEXTSPLIT(MID(D6, FIND(":", D6, FIND("&gt;", D6)) + 2, 999), " "), 4))</f>
        <v>router-test.example.com.</v>
      </c>
      <c r="N6" s="6" t="str" cm="1">
        <f t="array" ref="N6">TRIM(INDEX(_xlfn.TEXTSPLIT(MID(D6, FIND(":", D6, FIND("&gt;", D6)) + 2, 999), " "), 5))</f>
        <v>(64)</v>
      </c>
    </row>
    <row r="7" spans="1:14" x14ac:dyDescent="0.45">
      <c r="A7" s="6" t="s">
        <v>576</v>
      </c>
      <c r="B7" s="6" t="str">
        <f t="shared" ref="B7:B41" si="0">IF(L7="A?","行き",IF(L7="A","返り",IF(L7="PTR?","行き",IF(L7="PTR","返り",""))))</f>
        <v>返り</v>
      </c>
      <c r="C7" s="6" t="str">
        <f t="shared" ref="C7:C41" si="1">IF(L7="A?","正引き",IF(L7="A","正引き",IF(L7="PTR?","逆引き",IF(L7="PTR","逆引き",""))))</f>
        <v>正引き</v>
      </c>
      <c r="D7" s="6" t="s">
        <v>853</v>
      </c>
      <c r="E7" s="39" t="str" cm="1">
        <f t="array" ref="E7">TRIM(INDEX(_xlfn.TEXTSPLIT(D7, " "), 1))</f>
        <v>08:34:43.102985</v>
      </c>
      <c r="F7" s="39" t="str" cm="1">
        <f t="array" ref="F7">TRIM(INDEX(_xlfn.TEXTSPLIT(D7, " "), 2))</f>
        <v>IP</v>
      </c>
      <c r="G7" s="39" t="str" cm="1">
        <f t="array" ref="G7">TRIM(INDEX(_xlfn.TEXTSPLIT(D7, " "), 3))</f>
        <v>192.168.100.29.domain</v>
      </c>
      <c r="H7" s="39" t="str" cm="1">
        <f t="array" ref="H7">TRIM(INDEX(_xlfn.TEXTSPLIT(D7, " "), 4))</f>
        <v>&gt;</v>
      </c>
      <c r="I7" s="39" t="str" cm="1">
        <f t="array" ref="I7">_xlfn.LET(
    _xlpm.v, TRIM(INDEX(_xlfn.TEXTSPLIT(D7, " "), 5)),
    IF(RIGHT(_xlpm.v,1)=":", LEFT(_xlpm.v, LEN(_xlpm.v)-1), _xlpm.v)
)</f>
        <v>192.168.100.26.60797</v>
      </c>
      <c r="J7" s="39" t="str" cm="1">
        <f t="array" ref="J7">TRIM(INDEX(_xlfn.TEXTSPLIT(MID(D7, FIND(":", D7, FIND("&gt;", D7)) + 2, 999), " "), 1))</f>
        <v>43555*</v>
      </c>
      <c r="K7" s="39" t="str" cm="1">
        <f t="array" ref="K7">TRIM(INDEX(_xlfn.TEXTSPLIT(MID(D7, FIND(":", D7, FIND("&gt;", D7)) + 2, 999), " "), 2))</f>
        <v>1/0/1</v>
      </c>
      <c r="L7" s="6" t="str" cm="1">
        <f t="array" ref="L7">TRIM(INDEX(_xlfn.TEXTSPLIT(MID(D7, FIND(":", D7, FIND("&gt;", D7)) + 2, 999), " "), 3))</f>
        <v>A</v>
      </c>
      <c r="M7" s="6" t="str" cm="1">
        <f t="array" ref="M7">TRIM(INDEX(_xlfn.TEXTSPLIT(MID(D7, FIND(":", D7, FIND("&gt;", D7)) + 2, 999), " "), 4))</f>
        <v>192.168.100.26</v>
      </c>
      <c r="N7" s="6" t="str" cm="1">
        <f t="array" ref="N7">TRIM(INDEX(_xlfn.TEXTSPLIT(MID(D7, FIND(":", D7, FIND("&gt;", D7)) + 2, 999), " "), 5))</f>
        <v>(96)</v>
      </c>
    </row>
    <row r="8" spans="1:14" x14ac:dyDescent="0.45">
      <c r="A8" s="6" t="s">
        <v>380</v>
      </c>
      <c r="B8" s="6" t="str">
        <f t="shared" si="0"/>
        <v>行き</v>
      </c>
      <c r="C8" s="6" t="str">
        <f t="shared" si="1"/>
        <v>逆引き</v>
      </c>
      <c r="D8" s="6" t="s">
        <v>854</v>
      </c>
      <c r="E8" s="39" t="str" cm="1">
        <f t="array" ref="E8">TRIM(INDEX(_xlfn.TEXTSPLIT(D8, " "), 1))</f>
        <v>08:34:52.153459</v>
      </c>
      <c r="F8" s="39" t="str" cm="1">
        <f t="array" ref="F8">TRIM(INDEX(_xlfn.TEXTSPLIT(D8, " "), 2))</f>
        <v>IP</v>
      </c>
      <c r="G8" s="39" t="str" cm="1">
        <f t="array" ref="G8">TRIM(INDEX(_xlfn.TEXTSPLIT(D8, " "), 3))</f>
        <v>192.168.100.26.56961</v>
      </c>
      <c r="H8" s="39" t="str" cm="1">
        <f t="array" ref="H8">TRIM(INDEX(_xlfn.TEXTSPLIT(D8, " "), 4))</f>
        <v>&gt;</v>
      </c>
      <c r="I8" s="39" t="str" cm="1">
        <f t="array" ref="I8">_xlfn.LET(
    _xlpm.v, TRIM(INDEX(_xlfn.TEXTSPLIT(D8, " "), 5)),
    IF(RIGHT(_xlpm.v,1)=":", LEFT(_xlpm.v, LEN(_xlpm.v)-1), _xlpm.v)
)</f>
        <v>192.168.100.29.domain</v>
      </c>
      <c r="J8" s="39" t="str" cm="1">
        <f t="array" ref="J8">TRIM(INDEX(_xlfn.TEXTSPLIT(MID(D8, FIND(":", D8, FIND("&gt;", D8)) + 2, 999), " "), 1))</f>
        <v>15870+</v>
      </c>
      <c r="K8" s="39" t="str" cm="1">
        <f t="array" ref="K8">TRIM(INDEX(_xlfn.TEXTSPLIT(MID(D8, FIND(":", D8, FIND("&gt;", D8)) + 2, 999), " "), 2))</f>
        <v>[1au]</v>
      </c>
      <c r="L8" s="6" t="str" cm="1">
        <f t="array" ref="L8">TRIM(INDEX(_xlfn.TEXTSPLIT(MID(D8, FIND(":", D8, FIND("&gt;", D8)) + 2, 999), " "), 3))</f>
        <v>PTR?</v>
      </c>
      <c r="M8" s="6" t="str" cm="1">
        <f t="array" ref="M8">TRIM(INDEX(_xlfn.TEXTSPLIT(MID(D8, FIND(":", D8, FIND("&gt;", D8)) + 2, 999), " "), 4))</f>
        <v>26.100.168.192.in-addr.arpa.</v>
      </c>
      <c r="N8" s="6" t="str" cm="1">
        <f t="array" ref="N8">TRIM(INDEX(_xlfn.TEXTSPLIT(MID(D8, FIND(":", D8, FIND("&gt;", D8)) + 2, 999), " "), 5))</f>
        <v>(68)</v>
      </c>
    </row>
    <row r="9" spans="1:14" x14ac:dyDescent="0.45">
      <c r="A9" s="6" t="s">
        <v>576</v>
      </c>
      <c r="B9" s="6" t="str">
        <f t="shared" si="0"/>
        <v>返り</v>
      </c>
      <c r="C9" s="6" t="str">
        <f t="shared" si="1"/>
        <v>逆引き</v>
      </c>
      <c r="D9" s="6" t="s">
        <v>852</v>
      </c>
      <c r="E9" s="39" t="str" cm="1">
        <f t="array" ref="E9">TRIM(INDEX(_xlfn.TEXTSPLIT(D9, " "), 1))</f>
        <v>08:34:52.153639</v>
      </c>
      <c r="F9" s="39" t="str" cm="1">
        <f t="array" ref="F9">TRIM(INDEX(_xlfn.TEXTSPLIT(D9, " "), 2))</f>
        <v>IP</v>
      </c>
      <c r="G9" s="39" t="str" cm="1">
        <f t="array" ref="G9">TRIM(INDEX(_xlfn.TEXTSPLIT(D9, " "), 3))</f>
        <v>192.168.100.29.domain</v>
      </c>
      <c r="H9" s="39" t="str" cm="1">
        <f t="array" ref="H9">TRIM(INDEX(_xlfn.TEXTSPLIT(D9, " "), 4))</f>
        <v>&gt;</v>
      </c>
      <c r="I9" s="39" t="str" cm="1">
        <f t="array" ref="I9">_xlfn.LET(
    _xlpm.v, TRIM(INDEX(_xlfn.TEXTSPLIT(D9, " "), 5)),
    IF(RIGHT(_xlpm.v,1)=":", LEFT(_xlpm.v, LEN(_xlpm.v)-1), _xlpm.v)
)</f>
        <v>192.168.100.26.56961</v>
      </c>
      <c r="J9" s="39" t="str" cm="1">
        <f t="array" ref="J9">TRIM(INDEX(_xlfn.TEXTSPLIT(MID(D9, FIND(":", D9, FIND("&gt;", D9)) + 2, 999), " "), 1))</f>
        <v>15870*</v>
      </c>
      <c r="K9" s="39" t="str" cm="1">
        <f t="array" ref="K9">TRIM(INDEX(_xlfn.TEXTSPLIT(MID(D9, FIND(":", D9, FIND("&gt;", D9)) + 2, 999), " "), 2))</f>
        <v>1/0/1</v>
      </c>
      <c r="L9" s="6" t="str" cm="1">
        <f t="array" ref="L9">TRIM(INDEX(_xlfn.TEXTSPLIT(MID(D9, FIND(":", D9, FIND("&gt;", D9)) + 2, 999), " "), 3))</f>
        <v>PTR</v>
      </c>
      <c r="M9" s="6" t="str" cm="1">
        <f t="array" ref="M9">TRIM(INDEX(_xlfn.TEXTSPLIT(MID(D9, FIND(":", D9, FIND("&gt;", D9)) + 2, 999), " "), 4))</f>
        <v>router-test.example.com.</v>
      </c>
      <c r="N9" s="6" t="str" cm="1">
        <f t="array" ref="N9">TRIM(INDEX(_xlfn.TEXTSPLIT(MID(D9, FIND(":", D9, FIND("&gt;", D9)) + 2, 999), " "), 5))</f>
        <v>(121)</v>
      </c>
    </row>
    <row r="10" spans="1:14" x14ac:dyDescent="0.45">
      <c r="A10" s="6" t="s">
        <v>303</v>
      </c>
      <c r="B10" s="6" t="str">
        <f t="shared" si="0"/>
        <v>行き</v>
      </c>
      <c r="C10" s="6" t="str">
        <f t="shared" si="1"/>
        <v>正引き</v>
      </c>
      <c r="D10" s="6" t="s">
        <v>746</v>
      </c>
      <c r="E10" s="39" t="str" cm="1">
        <f t="array" ref="E10">TRIM(INDEX(_xlfn.TEXTSPLIT(D10, " "), 1))</f>
        <v>08:38:47.442892</v>
      </c>
      <c r="F10" s="39" t="str" cm="1">
        <f t="array" ref="F10">TRIM(INDEX(_xlfn.TEXTSPLIT(D10, " "), 2))</f>
        <v>IP</v>
      </c>
      <c r="G10" s="39" t="str" cm="1">
        <f t="array" ref="G10">TRIM(INDEX(_xlfn.TEXTSPLIT(D10, " "), 3))</f>
        <v>192.168.100.27.34810</v>
      </c>
      <c r="H10" s="39" t="str" cm="1">
        <f t="array" ref="H10">TRIM(INDEX(_xlfn.TEXTSPLIT(D10, " "), 4))</f>
        <v>&gt;</v>
      </c>
      <c r="I10" s="39" t="str" cm="1">
        <f t="array" ref="I10">_xlfn.LET(
    _xlpm.v, TRIM(INDEX(_xlfn.TEXTSPLIT(D10, " "), 5)),
    IF(RIGHT(_xlpm.v,1)=":", LEFT(_xlpm.v, LEN(_xlpm.v)-1), _xlpm.v)
)</f>
        <v>192.168.100.29.domain</v>
      </c>
      <c r="J10" s="39" t="str" cm="1">
        <f t="array" ref="J10">TRIM(INDEX(_xlfn.TEXTSPLIT(MID(D10, FIND(":", D10, FIND("&gt;", D10)) + 2, 999), " "), 1))</f>
        <v>26085+</v>
      </c>
      <c r="K10" s="39" t="str" cm="1">
        <f t="array" ref="K10">TRIM(INDEX(_xlfn.TEXTSPLIT(MID(D10, FIND(":", D10, FIND("&gt;", D10)) + 2, 999), " "), 2))</f>
        <v>[1au]</v>
      </c>
      <c r="L10" s="6" t="str" cm="1">
        <f t="array" ref="L10">TRIM(INDEX(_xlfn.TEXTSPLIT(MID(D10, FIND(":", D10, FIND("&gt;", D10)) + 2, 999), " "), 3))</f>
        <v>A?</v>
      </c>
      <c r="M10" s="6" t="str" cm="1">
        <f t="array" ref="M10">TRIM(INDEX(_xlfn.TEXTSPLIT(MID(D10, FIND(":", D10, FIND("&gt;", D10)) + 2, 999), " "), 4))</f>
        <v>dhcp-test.example.com.</v>
      </c>
      <c r="N10" s="6" t="str" cm="1">
        <f t="array" ref="N10">TRIM(INDEX(_xlfn.TEXTSPLIT(MID(D10, FIND(":", D10, FIND("&gt;", D10)) + 2, 999), " "), 5))</f>
        <v>(62)</v>
      </c>
    </row>
    <row r="11" spans="1:14" x14ac:dyDescent="0.45">
      <c r="A11" s="6" t="s">
        <v>300</v>
      </c>
      <c r="B11" s="6" t="str">
        <f t="shared" si="0"/>
        <v>返り</v>
      </c>
      <c r="C11" s="6" t="str">
        <f t="shared" si="1"/>
        <v>正引き</v>
      </c>
      <c r="D11" s="6" t="s">
        <v>747</v>
      </c>
      <c r="E11" s="39" t="str" cm="1">
        <f t="array" ref="E11">TRIM(INDEX(_xlfn.TEXTSPLIT(D11, " "), 1))</f>
        <v>08:38:47.448026</v>
      </c>
      <c r="F11" s="39" t="str" cm="1">
        <f t="array" ref="F11">TRIM(INDEX(_xlfn.TEXTSPLIT(D11, " "), 2))</f>
        <v>IP</v>
      </c>
      <c r="G11" s="39" t="str" cm="1">
        <f t="array" ref="G11">TRIM(INDEX(_xlfn.TEXTSPLIT(D11, " "), 3))</f>
        <v>192.168.100.29.domain</v>
      </c>
      <c r="H11" s="39" t="str" cm="1">
        <f t="array" ref="H11">TRIM(INDEX(_xlfn.TEXTSPLIT(D11, " "), 4))</f>
        <v>&gt;</v>
      </c>
      <c r="I11" s="39" t="str" cm="1">
        <f t="array" ref="I11">_xlfn.LET(
    _xlpm.v, TRIM(INDEX(_xlfn.TEXTSPLIT(D11, " "), 5)),
    IF(RIGHT(_xlpm.v,1)=":", LEFT(_xlpm.v, LEN(_xlpm.v)-1), _xlpm.v)
)</f>
        <v>192.168.100.27.34810</v>
      </c>
      <c r="J11" s="39" t="str" cm="1">
        <f t="array" ref="J11">TRIM(INDEX(_xlfn.TEXTSPLIT(MID(D11, FIND(":", D11, FIND("&gt;", D11)) + 2, 999), " "), 1))</f>
        <v>26085*</v>
      </c>
      <c r="K11" s="39" t="str" cm="1">
        <f t="array" ref="K11">TRIM(INDEX(_xlfn.TEXTSPLIT(MID(D11, FIND(":", D11, FIND("&gt;", D11)) + 2, 999), " "), 2))</f>
        <v>1/0/1</v>
      </c>
      <c r="L11" s="6" t="str" cm="1">
        <f t="array" ref="L11">TRIM(INDEX(_xlfn.TEXTSPLIT(MID(D11, FIND(":", D11, FIND("&gt;", D11)) + 2, 999), " "), 3))</f>
        <v>A</v>
      </c>
      <c r="M11" s="6" t="str" cm="1">
        <f t="array" ref="M11">TRIM(INDEX(_xlfn.TEXTSPLIT(MID(D11, FIND(":", D11, FIND("&gt;", D11)) + 2, 999), " "), 4))</f>
        <v>192.168.100.27</v>
      </c>
      <c r="N11" s="6" t="str" cm="1">
        <f t="array" ref="N11">TRIM(INDEX(_xlfn.TEXTSPLIT(MID(D11, FIND(":", D11, FIND("&gt;", D11)) + 2, 999), " "), 5))</f>
        <v>(94)</v>
      </c>
    </row>
    <row r="12" spans="1:14" x14ac:dyDescent="0.45">
      <c r="A12" s="6" t="s">
        <v>303</v>
      </c>
      <c r="B12" s="6" t="str">
        <f t="shared" si="0"/>
        <v>行き</v>
      </c>
      <c r="C12" s="6" t="str">
        <f t="shared" si="1"/>
        <v>逆引き</v>
      </c>
      <c r="D12" s="6" t="s">
        <v>748</v>
      </c>
      <c r="E12" s="39" t="str" cm="1">
        <f t="array" ref="E12">TRIM(INDEX(_xlfn.TEXTSPLIT(D12, " "), 1))</f>
        <v>08:39:07.334429</v>
      </c>
      <c r="F12" s="39" t="str" cm="1">
        <f t="array" ref="F12">TRIM(INDEX(_xlfn.TEXTSPLIT(D12, " "), 2))</f>
        <v>IP</v>
      </c>
      <c r="G12" s="39" t="str" cm="1">
        <f t="array" ref="G12">TRIM(INDEX(_xlfn.TEXTSPLIT(D12, " "), 3))</f>
        <v>192.168.100.27.41211</v>
      </c>
      <c r="H12" s="39" t="str" cm="1">
        <f t="array" ref="H12">TRIM(INDEX(_xlfn.TEXTSPLIT(D12, " "), 4))</f>
        <v>&gt;</v>
      </c>
      <c r="I12" s="39" t="str" cm="1">
        <f t="array" ref="I12">_xlfn.LET(
    _xlpm.v, TRIM(INDEX(_xlfn.TEXTSPLIT(D12, " "), 5)),
    IF(RIGHT(_xlpm.v,1)=":", LEFT(_xlpm.v, LEN(_xlpm.v)-1), _xlpm.v)
)</f>
        <v>192.168.100.29.domain</v>
      </c>
      <c r="J12" s="39" t="str" cm="1">
        <f t="array" ref="J12">TRIM(INDEX(_xlfn.TEXTSPLIT(MID(D12, FIND(":", D12, FIND("&gt;", D12)) + 2, 999), " "), 1))</f>
        <v>57404+</v>
      </c>
      <c r="K12" s="39" t="str" cm="1">
        <f t="array" ref="K12">TRIM(INDEX(_xlfn.TEXTSPLIT(MID(D12, FIND(":", D12, FIND("&gt;", D12)) + 2, 999), " "), 2))</f>
        <v>[1au]</v>
      </c>
      <c r="L12" s="6" t="str" cm="1">
        <f t="array" ref="L12">TRIM(INDEX(_xlfn.TEXTSPLIT(MID(D12, FIND(":", D12, FIND("&gt;", D12)) + 2, 999), " "), 3))</f>
        <v>PTR?</v>
      </c>
      <c r="M12" s="6" t="str" cm="1">
        <f t="array" ref="M12">TRIM(INDEX(_xlfn.TEXTSPLIT(MID(D12, FIND(":", D12, FIND("&gt;", D12)) + 2, 999), " "), 4))</f>
        <v>27.100.168.192.in-addr.arpa.</v>
      </c>
      <c r="N12" s="6" t="str" cm="1">
        <f t="array" ref="N12">TRIM(INDEX(_xlfn.TEXTSPLIT(MID(D12, FIND(":", D12, FIND("&gt;", D12)) + 2, 999), " "), 5))</f>
        <v>(68)</v>
      </c>
    </row>
    <row r="13" spans="1:14" x14ac:dyDescent="0.45">
      <c r="A13" s="6" t="s">
        <v>300</v>
      </c>
      <c r="B13" s="6" t="str">
        <f t="shared" si="0"/>
        <v>返り</v>
      </c>
      <c r="C13" s="6" t="str">
        <f t="shared" si="1"/>
        <v>逆引き</v>
      </c>
      <c r="D13" s="6" t="s">
        <v>749</v>
      </c>
      <c r="E13" s="39" t="str" cm="1">
        <f t="array" ref="E13">TRIM(INDEX(_xlfn.TEXTSPLIT(D13, " "), 1))</f>
        <v>08:39:07.334619</v>
      </c>
      <c r="F13" s="39" t="str" cm="1">
        <f t="array" ref="F13">TRIM(INDEX(_xlfn.TEXTSPLIT(D13, " "), 2))</f>
        <v>IP</v>
      </c>
      <c r="G13" s="39" t="str" cm="1">
        <f t="array" ref="G13">TRIM(INDEX(_xlfn.TEXTSPLIT(D13, " "), 3))</f>
        <v>192.168.100.29.domain</v>
      </c>
      <c r="H13" s="39" t="str" cm="1">
        <f t="array" ref="H13">TRIM(INDEX(_xlfn.TEXTSPLIT(D13, " "), 4))</f>
        <v>&gt;</v>
      </c>
      <c r="I13" s="39" t="str" cm="1">
        <f t="array" ref="I13">_xlfn.LET(
    _xlpm.v, TRIM(INDEX(_xlfn.TEXTSPLIT(D13, " "), 5)),
    IF(RIGHT(_xlpm.v,1)=":", LEFT(_xlpm.v, LEN(_xlpm.v)-1), _xlpm.v)
)</f>
        <v>192.168.100.27.41211</v>
      </c>
      <c r="J13" s="39" t="str" cm="1">
        <f t="array" ref="J13">TRIM(INDEX(_xlfn.TEXTSPLIT(MID(D13, FIND(":", D13, FIND("&gt;", D13)) + 2, 999), " "), 1))</f>
        <v>57404*</v>
      </c>
      <c r="K13" s="39" t="str" cm="1">
        <f t="array" ref="K13">TRIM(INDEX(_xlfn.TEXTSPLIT(MID(D13, FIND(":", D13, FIND("&gt;", D13)) + 2, 999), " "), 2))</f>
        <v>1/0/1</v>
      </c>
      <c r="L13" s="6" t="str" cm="1">
        <f t="array" ref="L13">TRIM(INDEX(_xlfn.TEXTSPLIT(MID(D13, FIND(":", D13, FIND("&gt;", D13)) + 2, 999), " "), 3))</f>
        <v>PTR</v>
      </c>
      <c r="M13" s="6" t="str" cm="1">
        <f t="array" ref="M13">TRIM(INDEX(_xlfn.TEXTSPLIT(MID(D13, FIND(":", D13, FIND("&gt;", D13)) + 2, 999), " "), 4))</f>
        <v>dhcp-test.example.com.</v>
      </c>
      <c r="N13" s="6" t="str" cm="1">
        <f t="array" ref="N13">TRIM(INDEX(_xlfn.TEXTSPLIT(MID(D13, FIND(":", D13, FIND("&gt;", D13)) + 2, 999), " "), 5))</f>
        <v>(119)</v>
      </c>
    </row>
    <row r="14" spans="1:14" x14ac:dyDescent="0.45">
      <c r="A14" s="6" t="s">
        <v>379</v>
      </c>
      <c r="B14" s="6" t="str">
        <f t="shared" si="0"/>
        <v>行き</v>
      </c>
      <c r="C14" s="6" t="str">
        <f t="shared" si="1"/>
        <v>正引き</v>
      </c>
      <c r="D14" s="6" t="s">
        <v>750</v>
      </c>
      <c r="E14" s="39" t="str" cm="1">
        <f t="array" ref="E14">TRIM(INDEX(_xlfn.TEXTSPLIT(D14, " "), 1))</f>
        <v>08:40:37.733881</v>
      </c>
      <c r="F14" s="39" t="str" cm="1">
        <f t="array" ref="F14">TRIM(INDEX(_xlfn.TEXTSPLIT(D14, " "), 2))</f>
        <v>IP</v>
      </c>
      <c r="G14" s="39" t="str" cm="1">
        <f t="array" ref="G14">TRIM(INDEX(_xlfn.TEXTSPLIT(D14, " "), 3))</f>
        <v>192.168.100.28.57893</v>
      </c>
      <c r="H14" s="39" t="str" cm="1">
        <f t="array" ref="H14">TRIM(INDEX(_xlfn.TEXTSPLIT(D14, " "), 4))</f>
        <v>&gt;</v>
      </c>
      <c r="I14" s="39" t="str" cm="1">
        <f t="array" ref="I14">_xlfn.LET(
    _xlpm.v, TRIM(INDEX(_xlfn.TEXTSPLIT(D14, " "), 5)),
    IF(RIGHT(_xlpm.v,1)=":", LEFT(_xlpm.v, LEN(_xlpm.v)-1), _xlpm.v)
)</f>
        <v>192.168.100.29.domain</v>
      </c>
      <c r="J14" s="39" t="str" cm="1">
        <f t="array" ref="J14">TRIM(INDEX(_xlfn.TEXTSPLIT(MID(D14, FIND(":", D14, FIND("&gt;", D14)) + 2, 999), " "), 1))</f>
        <v>19129+</v>
      </c>
      <c r="K14" s="39" t="str" cm="1">
        <f t="array" ref="K14">TRIM(INDEX(_xlfn.TEXTSPLIT(MID(D14, FIND(":", D14, FIND("&gt;", D14)) + 2, 999), " "), 2))</f>
        <v>[1au]</v>
      </c>
      <c r="L14" s="6" t="str" cm="1">
        <f t="array" ref="L14">TRIM(INDEX(_xlfn.TEXTSPLIT(MID(D14, FIND(":", D14, FIND("&gt;", D14)) + 2, 999), " "), 3))</f>
        <v>A?</v>
      </c>
      <c r="M14" s="6" t="str" cm="1">
        <f t="array" ref="M14">TRIM(INDEX(_xlfn.TEXTSPLIT(MID(D14, FIND(":", D14, FIND("&gt;", D14)) + 2, 999), " "), 4))</f>
        <v>jump-test.example.com.</v>
      </c>
      <c r="N14" s="6" t="str" cm="1">
        <f t="array" ref="N14">TRIM(INDEX(_xlfn.TEXTSPLIT(MID(D14, FIND(":", D14, FIND("&gt;", D14)) + 2, 999), " "), 5))</f>
        <v>(62)</v>
      </c>
    </row>
    <row r="15" spans="1:14" x14ac:dyDescent="0.45">
      <c r="A15" s="6" t="s">
        <v>577</v>
      </c>
      <c r="B15" s="6" t="str">
        <f t="shared" si="0"/>
        <v>返り</v>
      </c>
      <c r="C15" s="6" t="str">
        <f t="shared" si="1"/>
        <v>正引き</v>
      </c>
      <c r="D15" s="6" t="s">
        <v>751</v>
      </c>
      <c r="E15" s="39" t="str" cm="1">
        <f t="array" ref="E15">TRIM(INDEX(_xlfn.TEXTSPLIT(D15, " "), 1))</f>
        <v>08:40:37.734050</v>
      </c>
      <c r="F15" s="39" t="str" cm="1">
        <f t="array" ref="F15">TRIM(INDEX(_xlfn.TEXTSPLIT(D15, " "), 2))</f>
        <v>IP</v>
      </c>
      <c r="G15" s="39" t="str" cm="1">
        <f t="array" ref="G15">TRIM(INDEX(_xlfn.TEXTSPLIT(D15, " "), 3))</f>
        <v>192.168.100.29.domain</v>
      </c>
      <c r="H15" s="39" t="str" cm="1">
        <f t="array" ref="H15">TRIM(INDEX(_xlfn.TEXTSPLIT(D15, " "), 4))</f>
        <v>&gt;</v>
      </c>
      <c r="I15" s="39" t="str" cm="1">
        <f t="array" ref="I15">_xlfn.LET(
    _xlpm.v, TRIM(INDEX(_xlfn.TEXTSPLIT(D15, " "), 5)),
    IF(RIGHT(_xlpm.v,1)=":", LEFT(_xlpm.v, LEN(_xlpm.v)-1), _xlpm.v)
)</f>
        <v>192.168.100.28.57893</v>
      </c>
      <c r="J15" s="39" t="str" cm="1">
        <f t="array" ref="J15">TRIM(INDEX(_xlfn.TEXTSPLIT(MID(D15, FIND(":", D15, FIND("&gt;", D15)) + 2, 999), " "), 1))</f>
        <v>19129*</v>
      </c>
      <c r="K15" s="39" t="str" cm="1">
        <f t="array" ref="K15">TRIM(INDEX(_xlfn.TEXTSPLIT(MID(D15, FIND(":", D15, FIND("&gt;", D15)) + 2, 999), " "), 2))</f>
        <v>1/0/1</v>
      </c>
      <c r="L15" s="6" t="str" cm="1">
        <f t="array" ref="L15">TRIM(INDEX(_xlfn.TEXTSPLIT(MID(D15, FIND(":", D15, FIND("&gt;", D15)) + 2, 999), " "), 3))</f>
        <v>A</v>
      </c>
      <c r="M15" s="6" t="str" cm="1">
        <f t="array" ref="M15">TRIM(INDEX(_xlfn.TEXTSPLIT(MID(D15, FIND(":", D15, FIND("&gt;", D15)) + 2, 999), " "), 4))</f>
        <v>192.168.100.28</v>
      </c>
      <c r="N15" s="6" t="str" cm="1">
        <f t="array" ref="N15">TRIM(INDEX(_xlfn.TEXTSPLIT(MID(D15, FIND(":", D15, FIND("&gt;", D15)) + 2, 999), " "), 5))</f>
        <v>(94)</v>
      </c>
    </row>
    <row r="16" spans="1:14" x14ac:dyDescent="0.45">
      <c r="A16" s="6" t="s">
        <v>379</v>
      </c>
      <c r="B16" s="6" t="str">
        <f t="shared" si="0"/>
        <v>行き</v>
      </c>
      <c r="C16" s="6" t="str">
        <f t="shared" si="1"/>
        <v>逆引き</v>
      </c>
      <c r="D16" s="6" t="s">
        <v>788</v>
      </c>
      <c r="E16" s="39" t="str" cm="1">
        <f t="array" ref="E16">TRIM(INDEX(_xlfn.TEXTSPLIT(D16, " "), 1))</f>
        <v>08:40:49.458390</v>
      </c>
      <c r="F16" s="39" t="str" cm="1">
        <f t="array" ref="F16">TRIM(INDEX(_xlfn.TEXTSPLIT(D16, " "), 2))</f>
        <v>IP</v>
      </c>
      <c r="G16" s="39" t="str" cm="1">
        <f t="array" ref="G16">TRIM(INDEX(_xlfn.TEXTSPLIT(D16, " "), 3))</f>
        <v>192.168.100.28.45708</v>
      </c>
      <c r="H16" s="39" t="str" cm="1">
        <f t="array" ref="H16">TRIM(INDEX(_xlfn.TEXTSPLIT(D16, " "), 4))</f>
        <v>&gt;</v>
      </c>
      <c r="I16" s="39" t="str" cm="1">
        <f t="array" ref="I16">_xlfn.LET(
    _xlpm.v, TRIM(INDEX(_xlfn.TEXTSPLIT(D16, " "), 5)),
    IF(RIGHT(_xlpm.v,1)=":", LEFT(_xlpm.v, LEN(_xlpm.v)-1), _xlpm.v)
)</f>
        <v>192.168.100.29.domain</v>
      </c>
      <c r="J16" s="39" t="str" cm="1">
        <f t="array" ref="J16">TRIM(INDEX(_xlfn.TEXTSPLIT(MID(D16, FIND(":", D16, FIND("&gt;", D16)) + 2, 999), " "), 1))</f>
        <v>43310+</v>
      </c>
      <c r="K16" s="39" t="str" cm="1">
        <f t="array" ref="K16">TRIM(INDEX(_xlfn.TEXTSPLIT(MID(D16, FIND(":", D16, FIND("&gt;", D16)) + 2, 999), " "), 2))</f>
        <v>[1au]</v>
      </c>
      <c r="L16" s="6" t="str" cm="1">
        <f t="array" ref="L16">TRIM(INDEX(_xlfn.TEXTSPLIT(MID(D16, FIND(":", D16, FIND("&gt;", D16)) + 2, 999), " "), 3))</f>
        <v>PTR?</v>
      </c>
      <c r="M16" s="6" t="str" cm="1">
        <f t="array" ref="M16">TRIM(INDEX(_xlfn.TEXTSPLIT(MID(D16, FIND(":", D16, FIND("&gt;", D16)) + 2, 999), " "), 4))</f>
        <v>28.100.168.192.in-addr.arpa.</v>
      </c>
      <c r="N16" s="6" t="str" cm="1">
        <f t="array" ref="N16">TRIM(INDEX(_xlfn.TEXTSPLIT(MID(D16, FIND(":", D16, FIND("&gt;", D16)) + 2, 999), " "), 5))</f>
        <v>(68)</v>
      </c>
    </row>
    <row r="17" spans="1:14" x14ac:dyDescent="0.45">
      <c r="A17" s="6" t="s">
        <v>577</v>
      </c>
      <c r="B17" s="6" t="str">
        <f t="shared" si="0"/>
        <v>返り</v>
      </c>
      <c r="C17" s="6" t="str">
        <f t="shared" si="1"/>
        <v>逆引き</v>
      </c>
      <c r="D17" s="6" t="s">
        <v>789</v>
      </c>
      <c r="E17" s="39" t="str" cm="1">
        <f t="array" ref="E17">TRIM(INDEX(_xlfn.TEXTSPLIT(D17, " "), 1))</f>
        <v>08:40:49.458692</v>
      </c>
      <c r="F17" s="39" t="str" cm="1">
        <f t="array" ref="F17">TRIM(INDEX(_xlfn.TEXTSPLIT(D17, " "), 2))</f>
        <v>IP</v>
      </c>
      <c r="G17" s="39" t="str" cm="1">
        <f t="array" ref="G17">TRIM(INDEX(_xlfn.TEXTSPLIT(D17, " "), 3))</f>
        <v>192.168.100.29.domain</v>
      </c>
      <c r="H17" s="39" t="str" cm="1">
        <f t="array" ref="H17">TRIM(INDEX(_xlfn.TEXTSPLIT(D17, " "), 4))</f>
        <v>&gt;</v>
      </c>
      <c r="I17" s="39" t="str" cm="1">
        <f t="array" ref="I17">_xlfn.LET(
    _xlpm.v, TRIM(INDEX(_xlfn.TEXTSPLIT(D17, " "), 5)),
    IF(RIGHT(_xlpm.v,1)=":", LEFT(_xlpm.v, LEN(_xlpm.v)-1), _xlpm.v)
)</f>
        <v>192.168.100.28.45708</v>
      </c>
      <c r="J17" s="39" t="str" cm="1">
        <f t="array" ref="J17">TRIM(INDEX(_xlfn.TEXTSPLIT(MID(D17, FIND(":", D17, FIND("&gt;", D17)) + 2, 999), " "), 1))</f>
        <v>43310*</v>
      </c>
      <c r="K17" s="39" t="str" cm="1">
        <f t="array" ref="K17">TRIM(INDEX(_xlfn.TEXTSPLIT(MID(D17, FIND(":", D17, FIND("&gt;", D17)) + 2, 999), " "), 2))</f>
        <v>1/0/1</v>
      </c>
      <c r="L17" s="6" t="str" cm="1">
        <f t="array" ref="L17">TRIM(INDEX(_xlfn.TEXTSPLIT(MID(D17, FIND(":", D17, FIND("&gt;", D17)) + 2, 999), " "), 3))</f>
        <v>PTR</v>
      </c>
      <c r="M17" s="6" t="str" cm="1">
        <f t="array" ref="M17">TRIM(INDEX(_xlfn.TEXTSPLIT(MID(D17, FIND(":", D17, FIND("&gt;", D17)) + 2, 999), " "), 4))</f>
        <v>jump-test.example.com.</v>
      </c>
      <c r="N17" s="6" t="str" cm="1">
        <f t="array" ref="N17">TRIM(INDEX(_xlfn.TEXTSPLIT(MID(D17, FIND(":", D17, FIND("&gt;", D17)) + 2, 999), " "), 5))</f>
        <v>(119)</v>
      </c>
    </row>
    <row r="18" spans="1:14" x14ac:dyDescent="0.45">
      <c r="A18" s="6" t="s">
        <v>386</v>
      </c>
      <c r="B18" s="6" t="str">
        <f t="shared" si="0"/>
        <v>行き</v>
      </c>
      <c r="C18" s="6" t="str">
        <f t="shared" si="1"/>
        <v>正引き</v>
      </c>
      <c r="D18" s="6" t="s">
        <v>808</v>
      </c>
      <c r="E18" s="39" t="str" cm="1">
        <f t="array" ref="E18">TRIM(INDEX(_xlfn.TEXTSPLIT(D18, " "), 1))</f>
        <v>08:43:23.274422</v>
      </c>
      <c r="F18" s="39" t="str" cm="1">
        <f t="array" ref="F18">TRIM(INDEX(_xlfn.TEXTSPLIT(D18, " "), 2))</f>
        <v>IP</v>
      </c>
      <c r="G18" s="39" t="str" cm="1">
        <f t="array" ref="G18">TRIM(INDEX(_xlfn.TEXTSPLIT(D18, " "), 3))</f>
        <v>192.168.100.30.45160</v>
      </c>
      <c r="H18" s="39" t="str" cm="1">
        <f t="array" ref="H18">TRIM(INDEX(_xlfn.TEXTSPLIT(D18, " "), 4))</f>
        <v>&gt;</v>
      </c>
      <c r="I18" s="39" t="str" cm="1">
        <f t="array" ref="I18">_xlfn.LET(
    _xlpm.v, TRIM(INDEX(_xlfn.TEXTSPLIT(D18, " "), 5)),
    IF(RIGHT(_xlpm.v,1)=":", LEFT(_xlpm.v, LEN(_xlpm.v)-1), _xlpm.v)
)</f>
        <v>192.168.100.29.domain</v>
      </c>
      <c r="J18" s="39" t="str" cm="1">
        <f t="array" ref="J18">TRIM(INDEX(_xlfn.TEXTSPLIT(MID(D18, FIND(":", D18, FIND("&gt;", D18)) + 2, 999), " "), 1))</f>
        <v>49180+</v>
      </c>
      <c r="K18" s="39" t="str" cm="1">
        <f t="array" ref="K18">TRIM(INDEX(_xlfn.TEXTSPLIT(MID(D18, FIND(":", D18, FIND("&gt;", D18)) + 2, 999), " "), 2))</f>
        <v>[1au]</v>
      </c>
      <c r="L18" s="6" t="str" cm="1">
        <f t="array" ref="L18">TRIM(INDEX(_xlfn.TEXTSPLIT(MID(D18, FIND(":", D18, FIND("&gt;", D18)) + 2, 999), " "), 3))</f>
        <v>A?</v>
      </c>
      <c r="M18" s="6" t="str" cm="1">
        <f t="array" ref="M18">TRIM(INDEX(_xlfn.TEXTSPLIT(MID(D18, FIND(":", D18, FIND("&gt;", D18)) + 2, 999), " "), 4))</f>
        <v>ntp-test.example.com.</v>
      </c>
      <c r="N18" s="6" t="str" cm="1">
        <f t="array" ref="N18">TRIM(INDEX(_xlfn.TEXTSPLIT(MID(D18, FIND(":", D18, FIND("&gt;", D18)) + 2, 999), " "), 5))</f>
        <v>(61)</v>
      </c>
    </row>
    <row r="19" spans="1:14" x14ac:dyDescent="0.45">
      <c r="A19" s="6" t="s">
        <v>384</v>
      </c>
      <c r="B19" s="6" t="str">
        <f t="shared" si="0"/>
        <v>返り</v>
      </c>
      <c r="C19" s="6" t="str">
        <f t="shared" si="1"/>
        <v>正引き</v>
      </c>
      <c r="D19" s="6" t="s">
        <v>809</v>
      </c>
      <c r="E19" s="39" t="str" cm="1">
        <f t="array" ref="E19">TRIM(INDEX(_xlfn.TEXTSPLIT(D19, " "), 1))</f>
        <v>08:43:23.275777</v>
      </c>
      <c r="F19" s="39" t="str" cm="1">
        <f t="array" ref="F19">TRIM(INDEX(_xlfn.TEXTSPLIT(D19, " "), 2))</f>
        <v>IP</v>
      </c>
      <c r="G19" s="39" t="str" cm="1">
        <f t="array" ref="G19">TRIM(INDEX(_xlfn.TEXTSPLIT(D19, " "), 3))</f>
        <v>192.168.100.29.domain</v>
      </c>
      <c r="H19" s="39" t="str" cm="1">
        <f t="array" ref="H19">TRIM(INDEX(_xlfn.TEXTSPLIT(D19, " "), 4))</f>
        <v>&gt;</v>
      </c>
      <c r="I19" s="39" t="str" cm="1">
        <f t="array" ref="I19">_xlfn.LET(
    _xlpm.v, TRIM(INDEX(_xlfn.TEXTSPLIT(D19, " "), 5)),
    IF(RIGHT(_xlpm.v,1)=":", LEFT(_xlpm.v, LEN(_xlpm.v)-1), _xlpm.v)
)</f>
        <v>192.168.100.30.45160</v>
      </c>
      <c r="J19" s="39" t="str" cm="1">
        <f t="array" ref="J19">TRIM(INDEX(_xlfn.TEXTSPLIT(MID(D19, FIND(":", D19, FIND("&gt;", D19)) + 2, 999), " "), 1))</f>
        <v>49180*</v>
      </c>
      <c r="K19" s="39" t="str" cm="1">
        <f t="array" ref="K19">TRIM(INDEX(_xlfn.TEXTSPLIT(MID(D19, FIND(":", D19, FIND("&gt;", D19)) + 2, 999), " "), 2))</f>
        <v>1/0/1</v>
      </c>
      <c r="L19" s="6" t="str" cm="1">
        <f t="array" ref="L19">TRIM(INDEX(_xlfn.TEXTSPLIT(MID(D19, FIND(":", D19, FIND("&gt;", D19)) + 2, 999), " "), 3))</f>
        <v>A</v>
      </c>
      <c r="M19" s="6" t="str" cm="1">
        <f t="array" ref="M19">TRIM(INDEX(_xlfn.TEXTSPLIT(MID(D19, FIND(":", D19, FIND("&gt;", D19)) + 2, 999), " "), 4))</f>
        <v>192.168.100.30</v>
      </c>
      <c r="N19" s="6" t="str" cm="1">
        <f t="array" ref="N19">TRIM(INDEX(_xlfn.TEXTSPLIT(MID(D19, FIND(":", D19, FIND("&gt;", D19)) + 2, 999), " "), 5))</f>
        <v>(93)</v>
      </c>
    </row>
    <row r="20" spans="1:14" x14ac:dyDescent="0.45">
      <c r="A20" s="6" t="s">
        <v>386</v>
      </c>
      <c r="B20" s="6" t="str">
        <f t="shared" si="0"/>
        <v>行き</v>
      </c>
      <c r="C20" s="6" t="str">
        <f t="shared" si="1"/>
        <v>逆引き</v>
      </c>
      <c r="D20" s="6" t="s">
        <v>810</v>
      </c>
      <c r="E20" s="39" t="str" cm="1">
        <f t="array" ref="E20">TRIM(INDEX(_xlfn.TEXTSPLIT(D20, " "), 1))</f>
        <v>08:43:34.702281</v>
      </c>
      <c r="F20" s="39" t="str" cm="1">
        <f t="array" ref="F20">TRIM(INDEX(_xlfn.TEXTSPLIT(D20, " "), 2))</f>
        <v>IP</v>
      </c>
      <c r="G20" s="39" t="str" cm="1">
        <f t="array" ref="G20">TRIM(INDEX(_xlfn.TEXTSPLIT(D20, " "), 3))</f>
        <v>192.168.100.30.60405</v>
      </c>
      <c r="H20" s="39" t="str" cm="1">
        <f t="array" ref="H20">TRIM(INDEX(_xlfn.TEXTSPLIT(D20, " "), 4))</f>
        <v>&gt;</v>
      </c>
      <c r="I20" s="39" t="str" cm="1">
        <f t="array" ref="I20">_xlfn.LET(
    _xlpm.v, TRIM(INDEX(_xlfn.TEXTSPLIT(D20, " "), 5)),
    IF(RIGHT(_xlpm.v,1)=":", LEFT(_xlpm.v, LEN(_xlpm.v)-1), _xlpm.v)
)</f>
        <v>192.168.100.29.domain</v>
      </c>
      <c r="J20" s="39" t="str" cm="1">
        <f t="array" ref="J20">TRIM(INDEX(_xlfn.TEXTSPLIT(MID(D20, FIND(":", D20, FIND("&gt;", D20)) + 2, 999), " "), 1))</f>
        <v>40644+</v>
      </c>
      <c r="K20" s="39" t="str" cm="1">
        <f t="array" ref="K20">TRIM(INDEX(_xlfn.TEXTSPLIT(MID(D20, FIND(":", D20, FIND("&gt;", D20)) + 2, 999), " "), 2))</f>
        <v>[1au]</v>
      </c>
      <c r="L20" s="6" t="str" cm="1">
        <f t="array" ref="L20">TRIM(INDEX(_xlfn.TEXTSPLIT(MID(D20, FIND(":", D20, FIND("&gt;", D20)) + 2, 999), " "), 3))</f>
        <v>PTR?</v>
      </c>
      <c r="M20" s="6" t="str" cm="1">
        <f t="array" ref="M20">TRIM(INDEX(_xlfn.TEXTSPLIT(MID(D20, FIND(":", D20, FIND("&gt;", D20)) + 2, 999), " "), 4))</f>
        <v>30.100.168.192.in-addr.arpa.</v>
      </c>
      <c r="N20" s="6" t="str" cm="1">
        <f t="array" ref="N20">TRIM(INDEX(_xlfn.TEXTSPLIT(MID(D20, FIND(":", D20, FIND("&gt;", D20)) + 2, 999), " "), 5))</f>
        <v>(68)</v>
      </c>
    </row>
    <row r="21" spans="1:14" x14ac:dyDescent="0.45">
      <c r="A21" s="6" t="s">
        <v>384</v>
      </c>
      <c r="B21" s="6" t="str">
        <f t="shared" si="0"/>
        <v>返り</v>
      </c>
      <c r="C21" s="6" t="str">
        <f t="shared" si="1"/>
        <v>逆引き</v>
      </c>
      <c r="D21" s="6" t="s">
        <v>811</v>
      </c>
      <c r="E21" s="39" t="str" cm="1">
        <f t="array" ref="E21">TRIM(INDEX(_xlfn.TEXTSPLIT(D21, " "), 1))</f>
        <v>08:43:34.702569</v>
      </c>
      <c r="F21" s="39" t="str" cm="1">
        <f t="array" ref="F21">TRIM(INDEX(_xlfn.TEXTSPLIT(D21, " "), 2))</f>
        <v>IP</v>
      </c>
      <c r="G21" s="39" t="str" cm="1">
        <f t="array" ref="G21">TRIM(INDEX(_xlfn.TEXTSPLIT(D21, " "), 3))</f>
        <v>192.168.100.29.domain</v>
      </c>
      <c r="H21" s="39" t="str" cm="1">
        <f t="array" ref="H21">TRIM(INDEX(_xlfn.TEXTSPLIT(D21, " "), 4))</f>
        <v>&gt;</v>
      </c>
      <c r="I21" s="39" t="str" cm="1">
        <f t="array" ref="I21">_xlfn.LET(
    _xlpm.v, TRIM(INDEX(_xlfn.TEXTSPLIT(D21, " "), 5)),
    IF(RIGHT(_xlpm.v,1)=":", LEFT(_xlpm.v, LEN(_xlpm.v)-1), _xlpm.v)
)</f>
        <v>192.168.100.30.60405</v>
      </c>
      <c r="J21" s="39" t="str" cm="1">
        <f t="array" ref="J21">TRIM(INDEX(_xlfn.TEXTSPLIT(MID(D21, FIND(":", D21, FIND("&gt;", D21)) + 2, 999), " "), 1))</f>
        <v>40644*</v>
      </c>
      <c r="K21" s="39" t="str" cm="1">
        <f t="array" ref="K21">TRIM(INDEX(_xlfn.TEXTSPLIT(MID(D21, FIND(":", D21, FIND("&gt;", D21)) + 2, 999), " "), 2))</f>
        <v>1/0/1</v>
      </c>
      <c r="L21" s="6" t="str" cm="1">
        <f t="array" ref="L21">TRIM(INDEX(_xlfn.TEXTSPLIT(MID(D21, FIND(":", D21, FIND("&gt;", D21)) + 2, 999), " "), 3))</f>
        <v>PTR</v>
      </c>
      <c r="M21" s="6" t="str" cm="1">
        <f t="array" ref="M21">TRIM(INDEX(_xlfn.TEXTSPLIT(MID(D21, FIND(":", D21, FIND("&gt;", D21)) + 2, 999), " "), 4))</f>
        <v>ntp-test.example.com.</v>
      </c>
      <c r="N21" s="6" t="str" cm="1">
        <f t="array" ref="N21">TRIM(INDEX(_xlfn.TEXTSPLIT(MID(D21, FIND(":", D21, FIND("&gt;", D21)) + 2, 999), " "), 5))</f>
        <v>(118)</v>
      </c>
    </row>
    <row r="22" spans="1:14" x14ac:dyDescent="0.45">
      <c r="A22" s="6" t="s">
        <v>578</v>
      </c>
      <c r="B22" s="6" t="str">
        <f t="shared" si="0"/>
        <v>行き</v>
      </c>
      <c r="C22" s="6" t="str">
        <f t="shared" si="1"/>
        <v>正引き</v>
      </c>
      <c r="D22" s="6" t="s">
        <v>812</v>
      </c>
      <c r="E22" s="39" t="str" cm="1">
        <f t="array" ref="E22">TRIM(INDEX(_xlfn.TEXTSPLIT(D22, " "), 1))</f>
        <v>08:44:10.751804</v>
      </c>
      <c r="F22" s="39" t="str" cm="1">
        <f t="array" ref="F22">TRIM(INDEX(_xlfn.TEXTSPLIT(D22, " "), 2))</f>
        <v>IP</v>
      </c>
      <c r="G22" s="39" t="str" cm="1">
        <f t="array" ref="G22">TRIM(INDEX(_xlfn.TEXTSPLIT(D22, " "), 3))</f>
        <v>192.168.100.31.32877</v>
      </c>
      <c r="H22" s="39" t="str" cm="1">
        <f t="array" ref="H22">TRIM(INDEX(_xlfn.TEXTSPLIT(D22, " "), 4))</f>
        <v>&gt;</v>
      </c>
      <c r="I22" s="39" t="str" cm="1">
        <f t="array" ref="I22">_xlfn.LET(
    _xlpm.v, TRIM(INDEX(_xlfn.TEXTSPLIT(D22, " "), 5)),
    IF(RIGHT(_xlpm.v,1)=":", LEFT(_xlpm.v, LEN(_xlpm.v)-1), _xlpm.v)
)</f>
        <v>192.168.100.29.domain</v>
      </c>
      <c r="J22" s="39" t="str" cm="1">
        <f t="array" ref="J22">TRIM(INDEX(_xlfn.TEXTSPLIT(MID(D22, FIND(":", D22, FIND("&gt;", D22)) + 2, 999), " "), 1))</f>
        <v>32349+</v>
      </c>
      <c r="K22" s="39" t="str" cm="1">
        <f t="array" ref="K22">TRIM(INDEX(_xlfn.TEXTSPLIT(MID(D22, FIND(":", D22, FIND("&gt;", D22)) + 2, 999), " "), 2))</f>
        <v>[1au]</v>
      </c>
      <c r="L22" s="6" t="str" cm="1">
        <f t="array" ref="L22">TRIM(INDEX(_xlfn.TEXTSPLIT(MID(D22, FIND(":", D22, FIND("&gt;", D22)) + 2, 999), " "), 3))</f>
        <v>A?</v>
      </c>
      <c r="M22" s="6" t="str" cm="1">
        <f t="array" ref="M22">TRIM(INDEX(_xlfn.TEXTSPLIT(MID(D22, FIND(":", D22, FIND("&gt;", D22)) + 2, 999), " "), 4))</f>
        <v>syslog-test.example.com.</v>
      </c>
      <c r="N22" s="6" t="str" cm="1">
        <f t="array" ref="N22">TRIM(INDEX(_xlfn.TEXTSPLIT(MID(D22, FIND(":", D22, FIND("&gt;", D22)) + 2, 999), " "), 5))</f>
        <v>(64)</v>
      </c>
    </row>
    <row r="23" spans="1:14" x14ac:dyDescent="0.45">
      <c r="A23" s="6" t="s">
        <v>569</v>
      </c>
      <c r="B23" s="6" t="str">
        <f t="shared" si="0"/>
        <v>返り</v>
      </c>
      <c r="C23" s="6" t="str">
        <f t="shared" si="1"/>
        <v>正引き</v>
      </c>
      <c r="D23" s="6" t="s">
        <v>813</v>
      </c>
      <c r="E23" s="39" t="str" cm="1">
        <f t="array" ref="E23">TRIM(INDEX(_xlfn.TEXTSPLIT(D23, " "), 1))</f>
        <v>08:44:10.751975</v>
      </c>
      <c r="F23" s="39" t="str" cm="1">
        <f t="array" ref="F23">TRIM(INDEX(_xlfn.TEXTSPLIT(D23, " "), 2))</f>
        <v>IP</v>
      </c>
      <c r="G23" s="39" t="str" cm="1">
        <f t="array" ref="G23">TRIM(INDEX(_xlfn.TEXTSPLIT(D23, " "), 3))</f>
        <v>192.168.100.29.domain</v>
      </c>
      <c r="H23" s="39" t="str" cm="1">
        <f t="array" ref="H23">TRIM(INDEX(_xlfn.TEXTSPLIT(D23, " "), 4))</f>
        <v>&gt;</v>
      </c>
      <c r="I23" s="39" t="str" cm="1">
        <f t="array" ref="I23">_xlfn.LET(
    _xlpm.v, TRIM(INDEX(_xlfn.TEXTSPLIT(D23, " "), 5)),
    IF(RIGHT(_xlpm.v,1)=":", LEFT(_xlpm.v, LEN(_xlpm.v)-1), _xlpm.v)
)</f>
        <v>192.168.100.31.32877</v>
      </c>
      <c r="J23" s="39" t="str" cm="1">
        <f t="array" ref="J23">TRIM(INDEX(_xlfn.TEXTSPLIT(MID(D23, FIND(":", D23, FIND("&gt;", D23)) + 2, 999), " "), 1))</f>
        <v>32349*</v>
      </c>
      <c r="K23" s="39" t="str" cm="1">
        <f t="array" ref="K23">TRIM(INDEX(_xlfn.TEXTSPLIT(MID(D23, FIND(":", D23, FIND("&gt;", D23)) + 2, 999), " "), 2))</f>
        <v>1/0/1</v>
      </c>
      <c r="L23" s="6" t="str" cm="1">
        <f t="array" ref="L23">TRIM(INDEX(_xlfn.TEXTSPLIT(MID(D23, FIND(":", D23, FIND("&gt;", D23)) + 2, 999), " "), 3))</f>
        <v>A</v>
      </c>
      <c r="M23" s="6" t="str" cm="1">
        <f t="array" ref="M23">TRIM(INDEX(_xlfn.TEXTSPLIT(MID(D23, FIND(":", D23, FIND("&gt;", D23)) + 2, 999), " "), 4))</f>
        <v>192.168.100.31</v>
      </c>
      <c r="N23" s="6" t="str" cm="1">
        <f t="array" ref="N23">TRIM(INDEX(_xlfn.TEXTSPLIT(MID(D23, FIND(":", D23, FIND("&gt;", D23)) + 2, 999), " "), 5))</f>
        <v>(96)</v>
      </c>
    </row>
    <row r="24" spans="1:14" x14ac:dyDescent="0.45">
      <c r="A24" s="6" t="s">
        <v>578</v>
      </c>
      <c r="B24" s="6" t="str">
        <f t="shared" si="0"/>
        <v>行き</v>
      </c>
      <c r="C24" s="6" t="str">
        <f t="shared" si="1"/>
        <v>逆引き</v>
      </c>
      <c r="D24" s="6" t="s">
        <v>814</v>
      </c>
      <c r="E24" s="39" t="str" cm="1">
        <f t="array" ref="E24">TRIM(INDEX(_xlfn.TEXTSPLIT(D24, " "), 1))</f>
        <v>08:44:26.186347</v>
      </c>
      <c r="F24" s="39" t="str" cm="1">
        <f t="array" ref="F24">TRIM(INDEX(_xlfn.TEXTSPLIT(D24, " "), 2))</f>
        <v>IP</v>
      </c>
      <c r="G24" s="39" t="str" cm="1">
        <f t="array" ref="G24">TRIM(INDEX(_xlfn.TEXTSPLIT(D24, " "), 3))</f>
        <v>192.168.100.31.56860</v>
      </c>
      <c r="H24" s="39" t="str" cm="1">
        <f t="array" ref="H24">TRIM(INDEX(_xlfn.TEXTSPLIT(D24, " "), 4))</f>
        <v>&gt;</v>
      </c>
      <c r="I24" s="39" t="str" cm="1">
        <f t="array" ref="I24">_xlfn.LET(
    _xlpm.v, TRIM(INDEX(_xlfn.TEXTSPLIT(D24, " "), 5)),
    IF(RIGHT(_xlpm.v,1)=":", LEFT(_xlpm.v, LEN(_xlpm.v)-1), _xlpm.v)
)</f>
        <v>192.168.100.29.domain</v>
      </c>
      <c r="J24" s="39" t="str" cm="1">
        <f t="array" ref="J24">TRIM(INDEX(_xlfn.TEXTSPLIT(MID(D24, FIND(":", D24, FIND("&gt;", D24)) + 2, 999), " "), 1))</f>
        <v>65035+</v>
      </c>
      <c r="K24" s="39" t="str" cm="1">
        <f t="array" ref="K24">TRIM(INDEX(_xlfn.TEXTSPLIT(MID(D24, FIND(":", D24, FIND("&gt;", D24)) + 2, 999), " "), 2))</f>
        <v>[1au]</v>
      </c>
      <c r="L24" s="6" t="str" cm="1">
        <f t="array" ref="L24">TRIM(INDEX(_xlfn.TEXTSPLIT(MID(D24, FIND(":", D24, FIND("&gt;", D24)) + 2, 999), " "), 3))</f>
        <v>PTR?</v>
      </c>
      <c r="M24" s="6" t="str" cm="1">
        <f t="array" ref="M24">TRIM(INDEX(_xlfn.TEXTSPLIT(MID(D24, FIND(":", D24, FIND("&gt;", D24)) + 2, 999), " "), 4))</f>
        <v>31.100.168.192.in-addr.arpa.</v>
      </c>
      <c r="N24" s="6" t="str" cm="1">
        <f t="array" ref="N24">TRIM(INDEX(_xlfn.TEXTSPLIT(MID(D24, FIND(":", D24, FIND("&gt;", D24)) + 2, 999), " "), 5))</f>
        <v>(68)</v>
      </c>
    </row>
    <row r="25" spans="1:14" x14ac:dyDescent="0.45">
      <c r="A25" s="6" t="s">
        <v>569</v>
      </c>
      <c r="B25" s="6" t="str">
        <f t="shared" si="0"/>
        <v>返り</v>
      </c>
      <c r="C25" s="6" t="str">
        <f t="shared" si="1"/>
        <v>逆引き</v>
      </c>
      <c r="D25" s="6" t="s">
        <v>815</v>
      </c>
      <c r="E25" s="39" t="str" cm="1">
        <f t="array" ref="E25">TRIM(INDEX(_xlfn.TEXTSPLIT(D25, " "), 1))</f>
        <v>08:44:26.186517</v>
      </c>
      <c r="F25" s="39" t="str" cm="1">
        <f t="array" ref="F25">TRIM(INDEX(_xlfn.TEXTSPLIT(D25, " "), 2))</f>
        <v>IP</v>
      </c>
      <c r="G25" s="39" t="str" cm="1">
        <f t="array" ref="G25">TRIM(INDEX(_xlfn.TEXTSPLIT(D25, " "), 3))</f>
        <v>192.168.100.29.domain</v>
      </c>
      <c r="H25" s="39" t="str" cm="1">
        <f t="array" ref="H25">TRIM(INDEX(_xlfn.TEXTSPLIT(D25, " "), 4))</f>
        <v>&gt;</v>
      </c>
      <c r="I25" s="39" t="str" cm="1">
        <f t="array" ref="I25">_xlfn.LET(
    _xlpm.v, TRIM(INDEX(_xlfn.TEXTSPLIT(D25, " "), 5)),
    IF(RIGHT(_xlpm.v,1)=":", LEFT(_xlpm.v, LEN(_xlpm.v)-1), _xlpm.v)
)</f>
        <v>192.168.100.31.56860</v>
      </c>
      <c r="J25" s="39" t="str" cm="1">
        <f t="array" ref="J25">TRIM(INDEX(_xlfn.TEXTSPLIT(MID(D25, FIND(":", D25, FIND("&gt;", D25)) + 2, 999), " "), 1))</f>
        <v>65035*</v>
      </c>
      <c r="K25" s="39" t="str" cm="1">
        <f t="array" ref="K25">TRIM(INDEX(_xlfn.TEXTSPLIT(MID(D25, FIND(":", D25, FIND("&gt;", D25)) + 2, 999), " "), 2))</f>
        <v>1/0/1</v>
      </c>
      <c r="L25" s="6" t="str" cm="1">
        <f t="array" ref="L25">TRIM(INDEX(_xlfn.TEXTSPLIT(MID(D25, FIND(":", D25, FIND("&gt;", D25)) + 2, 999), " "), 3))</f>
        <v>PTR</v>
      </c>
      <c r="M25" s="6" t="str" cm="1">
        <f t="array" ref="M25">TRIM(INDEX(_xlfn.TEXTSPLIT(MID(D25, FIND(":", D25, FIND("&gt;", D25)) + 2, 999), " "), 4))</f>
        <v>syslog-test.example.com.</v>
      </c>
      <c r="N25" s="6" t="str" cm="1">
        <f t="array" ref="N25">TRIM(INDEX(_xlfn.TEXTSPLIT(MID(D25, FIND(":", D25, FIND("&gt;", D25)) + 2, 999), " "), 5))</f>
        <v>(121)</v>
      </c>
    </row>
    <row r="26" spans="1:14" x14ac:dyDescent="0.45">
      <c r="A26" s="6" t="s">
        <v>579</v>
      </c>
      <c r="B26" s="6" t="str">
        <f t="shared" si="0"/>
        <v>行き</v>
      </c>
      <c r="C26" s="6" t="str">
        <f t="shared" si="1"/>
        <v>正引き</v>
      </c>
      <c r="D26" s="6" t="s">
        <v>816</v>
      </c>
      <c r="E26" s="39" t="str" cm="1">
        <f t="array" ref="E26">TRIM(INDEX(_xlfn.TEXTSPLIT(D26, " "), 1))</f>
        <v>08:45:37.086416</v>
      </c>
      <c r="F26" s="39" t="str" cm="1">
        <f t="array" ref="F26">TRIM(INDEX(_xlfn.TEXTSPLIT(D26, " "), 2))</f>
        <v>IP</v>
      </c>
      <c r="G26" s="39" t="str" cm="1">
        <f t="array" ref="G26">TRIM(INDEX(_xlfn.TEXTSPLIT(D26, " "), 3))</f>
        <v>192.168.110.8.60887</v>
      </c>
      <c r="H26" s="39" t="str" cm="1">
        <f t="array" ref="H26">TRIM(INDEX(_xlfn.TEXTSPLIT(D26, " "), 4))</f>
        <v>&gt;</v>
      </c>
      <c r="I26" s="39" t="str" cm="1">
        <f t="array" ref="I26">_xlfn.LET(
    _xlpm.v, TRIM(INDEX(_xlfn.TEXTSPLIT(D26, " "), 5)),
    IF(RIGHT(_xlpm.v,1)=":", LEFT(_xlpm.v, LEN(_xlpm.v)-1), _xlpm.v)
)</f>
        <v>192.168.100.29.domain</v>
      </c>
      <c r="J26" s="39" t="str" cm="1">
        <f t="array" ref="J26">TRIM(INDEX(_xlfn.TEXTSPLIT(MID(D26, FIND(":", D26, FIND("&gt;", D26)) + 2, 999), " "), 1))</f>
        <v>18193+</v>
      </c>
      <c r="K26" s="39" t="str" cm="1">
        <f t="array" ref="K26">TRIM(INDEX(_xlfn.TEXTSPLIT(MID(D26, FIND(":", D26, FIND("&gt;", D26)) + 2, 999), " "), 2))</f>
        <v>[1au]</v>
      </c>
      <c r="L26" s="6" t="str" cm="1">
        <f t="array" ref="L26">TRIM(INDEX(_xlfn.TEXTSPLIT(MID(D26, FIND(":", D26, FIND("&gt;", D26)) + 2, 999), " "), 3))</f>
        <v>A?</v>
      </c>
      <c r="M26" s="6" t="str" cm="1">
        <f t="array" ref="M26">TRIM(INDEX(_xlfn.TEXTSPLIT(MID(D26, FIND(":", D26, FIND("&gt;", D26)) + 2, 999), " "), 4))</f>
        <v>lb-test.example.com.</v>
      </c>
      <c r="N26" s="6" t="str" cm="1">
        <f t="array" ref="N26">TRIM(INDEX(_xlfn.TEXTSPLIT(MID(D26, FIND(":", D26, FIND("&gt;", D26)) + 2, 999), " "), 5))</f>
        <v>(60)</v>
      </c>
    </row>
    <row r="27" spans="1:14" x14ac:dyDescent="0.45">
      <c r="A27" s="6" t="s">
        <v>580</v>
      </c>
      <c r="B27" s="6" t="str">
        <f t="shared" si="0"/>
        <v>返り</v>
      </c>
      <c r="C27" s="6" t="str">
        <f t="shared" si="1"/>
        <v>正引き</v>
      </c>
      <c r="D27" s="6" t="s">
        <v>817</v>
      </c>
      <c r="E27" s="39" t="str" cm="1">
        <f t="array" ref="E27">TRIM(INDEX(_xlfn.TEXTSPLIT(D27, " "), 1))</f>
        <v>08:45:37.086592</v>
      </c>
      <c r="F27" s="39" t="str" cm="1">
        <f t="array" ref="F27">TRIM(INDEX(_xlfn.TEXTSPLIT(D27, " "), 2))</f>
        <v>IP</v>
      </c>
      <c r="G27" s="39" t="str" cm="1">
        <f t="array" ref="G27">TRIM(INDEX(_xlfn.TEXTSPLIT(D27, " "), 3))</f>
        <v>192.168.100.29.domain</v>
      </c>
      <c r="H27" s="39" t="str" cm="1">
        <f t="array" ref="H27">TRIM(INDEX(_xlfn.TEXTSPLIT(D27, " "), 4))</f>
        <v>&gt;</v>
      </c>
      <c r="I27" s="39" t="str" cm="1">
        <f t="array" ref="I27">_xlfn.LET(
    _xlpm.v, TRIM(INDEX(_xlfn.TEXTSPLIT(D27, " "), 5)),
    IF(RIGHT(_xlpm.v,1)=":", LEFT(_xlpm.v, LEN(_xlpm.v)-1), _xlpm.v)
)</f>
        <v>192.168.110.8.60887</v>
      </c>
      <c r="J27" s="39" t="str" cm="1">
        <f t="array" ref="J27">TRIM(INDEX(_xlfn.TEXTSPLIT(MID(D27, FIND(":", D27, FIND("&gt;", D27)) + 2, 999), " "), 1))</f>
        <v>18193*</v>
      </c>
      <c r="K27" s="39" t="str" cm="1">
        <f t="array" ref="K27">TRIM(INDEX(_xlfn.TEXTSPLIT(MID(D27, FIND(":", D27, FIND("&gt;", D27)) + 2, 999), " "), 2))</f>
        <v>1/0/1</v>
      </c>
      <c r="L27" s="6" t="str" cm="1">
        <f t="array" ref="L27">TRIM(INDEX(_xlfn.TEXTSPLIT(MID(D27, FIND(":", D27, FIND("&gt;", D27)) + 2, 999), " "), 3))</f>
        <v>A</v>
      </c>
      <c r="M27" s="6" t="str" cm="1">
        <f t="array" ref="M27">TRIM(INDEX(_xlfn.TEXTSPLIT(MID(D27, FIND(":", D27, FIND("&gt;", D27)) + 2, 999), " "), 4))</f>
        <v>192.168.110.8</v>
      </c>
      <c r="N27" s="6" t="str" cm="1">
        <f t="array" ref="N27">TRIM(INDEX(_xlfn.TEXTSPLIT(MID(D27, FIND(":", D27, FIND("&gt;", D27)) + 2, 999), " "), 5))</f>
        <v>(92)</v>
      </c>
    </row>
    <row r="28" spans="1:14" x14ac:dyDescent="0.45">
      <c r="A28" s="6" t="s">
        <v>579</v>
      </c>
      <c r="B28" s="6" t="str">
        <f t="shared" si="0"/>
        <v>行き</v>
      </c>
      <c r="C28" s="6" t="str">
        <f t="shared" si="1"/>
        <v>逆引き</v>
      </c>
      <c r="D28" s="6" t="s">
        <v>818</v>
      </c>
      <c r="E28" s="39" t="str" cm="1">
        <f t="array" ref="E28">TRIM(INDEX(_xlfn.TEXTSPLIT(D28, " "), 1))</f>
        <v>08:45:57.913046</v>
      </c>
      <c r="F28" s="39" t="str" cm="1">
        <f t="array" ref="F28">TRIM(INDEX(_xlfn.TEXTSPLIT(D28, " "), 2))</f>
        <v>IP</v>
      </c>
      <c r="G28" s="39" t="str" cm="1">
        <f t="array" ref="G28">TRIM(INDEX(_xlfn.TEXTSPLIT(D28, " "), 3))</f>
        <v>192.168.110.8.33040</v>
      </c>
      <c r="H28" s="39" t="str" cm="1">
        <f t="array" ref="H28">TRIM(INDEX(_xlfn.TEXTSPLIT(D28, " "), 4))</f>
        <v>&gt;</v>
      </c>
      <c r="I28" s="39" t="str" cm="1">
        <f t="array" ref="I28">_xlfn.LET(
    _xlpm.v, TRIM(INDEX(_xlfn.TEXTSPLIT(D28, " "), 5)),
    IF(RIGHT(_xlpm.v,1)=":", LEFT(_xlpm.v, LEN(_xlpm.v)-1), _xlpm.v)
)</f>
        <v>192.168.100.29.domain</v>
      </c>
      <c r="J28" s="39" t="str" cm="1">
        <f t="array" ref="J28">TRIM(INDEX(_xlfn.TEXTSPLIT(MID(D28, FIND(":", D28, FIND("&gt;", D28)) + 2, 999), " "), 1))</f>
        <v>8046+</v>
      </c>
      <c r="K28" s="39" t="str" cm="1">
        <f t="array" ref="K28">TRIM(INDEX(_xlfn.TEXTSPLIT(MID(D28, FIND(":", D28, FIND("&gt;", D28)) + 2, 999), " "), 2))</f>
        <v>[1au]</v>
      </c>
      <c r="L28" s="6" t="str" cm="1">
        <f t="array" ref="L28">TRIM(INDEX(_xlfn.TEXTSPLIT(MID(D28, FIND(":", D28, FIND("&gt;", D28)) + 2, 999), " "), 3))</f>
        <v>PTR?</v>
      </c>
      <c r="M28" s="6" t="str" cm="1">
        <f t="array" ref="M28">TRIM(INDEX(_xlfn.TEXTSPLIT(MID(D28, FIND(":", D28, FIND("&gt;", D28)) + 2, 999), " "), 4))</f>
        <v>8.110.168.192.in-addr.arpa.</v>
      </c>
      <c r="N28" s="6" t="str" cm="1">
        <f t="array" ref="N28">TRIM(INDEX(_xlfn.TEXTSPLIT(MID(D28, FIND(":", D28, FIND("&gt;", D28)) + 2, 999), " "), 5))</f>
        <v>(67)</v>
      </c>
    </row>
    <row r="29" spans="1:14" x14ac:dyDescent="0.45">
      <c r="A29" s="6" t="s">
        <v>580</v>
      </c>
      <c r="B29" s="6" t="str">
        <f t="shared" si="0"/>
        <v>返り</v>
      </c>
      <c r="C29" s="6" t="str">
        <f t="shared" si="1"/>
        <v>逆引き</v>
      </c>
      <c r="D29" s="6" t="s">
        <v>819</v>
      </c>
      <c r="E29" s="39" t="str" cm="1">
        <f t="array" ref="E29">TRIM(INDEX(_xlfn.TEXTSPLIT(D29, " "), 1))</f>
        <v>08:45:57.915453</v>
      </c>
      <c r="F29" s="39" t="str" cm="1">
        <f t="array" ref="F29">TRIM(INDEX(_xlfn.TEXTSPLIT(D29, " "), 2))</f>
        <v>IP</v>
      </c>
      <c r="G29" s="39" t="str" cm="1">
        <f t="array" ref="G29">TRIM(INDEX(_xlfn.TEXTSPLIT(D29, " "), 3))</f>
        <v>192.168.100.29.domain</v>
      </c>
      <c r="H29" s="39" t="str" cm="1">
        <f t="array" ref="H29">TRIM(INDEX(_xlfn.TEXTSPLIT(D29, " "), 4))</f>
        <v>&gt;</v>
      </c>
      <c r="I29" s="39" t="str" cm="1">
        <f t="array" ref="I29">_xlfn.LET(
    _xlpm.v, TRIM(INDEX(_xlfn.TEXTSPLIT(D29, " "), 5)),
    IF(RIGHT(_xlpm.v,1)=":", LEFT(_xlpm.v, LEN(_xlpm.v)-1), _xlpm.v)
)</f>
        <v>192.168.110.8.33040</v>
      </c>
      <c r="J29" s="39" t="str" cm="1">
        <f t="array" ref="J29">TRIM(INDEX(_xlfn.TEXTSPLIT(MID(D29, FIND(":", D29, FIND("&gt;", D29)) + 2, 999), " "), 1))</f>
        <v>8046*</v>
      </c>
      <c r="K29" s="39" t="str" cm="1">
        <f t="array" ref="K29">TRIM(INDEX(_xlfn.TEXTSPLIT(MID(D29, FIND(":", D29, FIND("&gt;", D29)) + 2, 999), " "), 2))</f>
        <v>1/0/1</v>
      </c>
      <c r="L29" s="6" t="str" cm="1">
        <f t="array" ref="L29">TRIM(INDEX(_xlfn.TEXTSPLIT(MID(D29, FIND(":", D29, FIND("&gt;", D29)) + 2, 999), " "), 3))</f>
        <v>PTR</v>
      </c>
      <c r="M29" s="6" t="str" cm="1">
        <f t="array" ref="M29">TRIM(INDEX(_xlfn.TEXTSPLIT(MID(D29, FIND(":", D29, FIND("&gt;", D29)) + 2, 999), " "), 4))</f>
        <v>lb-test.example.com.</v>
      </c>
      <c r="N29" s="6" t="str" cm="1">
        <f t="array" ref="N29">TRIM(INDEX(_xlfn.TEXTSPLIT(MID(D29, FIND(":", D29, FIND("&gt;", D29)) + 2, 999), " "), 5))</f>
        <v>(116)</v>
      </c>
    </row>
    <row r="30" spans="1:14" x14ac:dyDescent="0.45">
      <c r="A30" s="6" t="s">
        <v>581</v>
      </c>
      <c r="B30" s="6" t="str">
        <f t="shared" si="0"/>
        <v>行き</v>
      </c>
      <c r="C30" s="6" t="str">
        <f t="shared" si="1"/>
        <v>正引き</v>
      </c>
      <c r="D30" s="6" t="s">
        <v>820</v>
      </c>
      <c r="E30" s="39" t="str" cm="1">
        <f t="array" ref="E30">TRIM(INDEX(_xlfn.TEXTSPLIT(D30, " "), 1))</f>
        <v>08:46:47.905025</v>
      </c>
      <c r="F30" s="39" t="str" cm="1">
        <f t="array" ref="F30">TRIM(INDEX(_xlfn.TEXTSPLIT(D30, " "), 2))</f>
        <v>IP</v>
      </c>
      <c r="G30" s="39" t="str" cm="1">
        <f t="array" ref="G30">TRIM(INDEX(_xlfn.TEXTSPLIT(D30, " "), 3))</f>
        <v>192.168.110.9.37192</v>
      </c>
      <c r="H30" s="39" t="str" cm="1">
        <f t="array" ref="H30">TRIM(INDEX(_xlfn.TEXTSPLIT(D30, " "), 4))</f>
        <v>&gt;</v>
      </c>
      <c r="I30" s="39" t="str" cm="1">
        <f t="array" ref="I30">_xlfn.LET(
    _xlpm.v, TRIM(INDEX(_xlfn.TEXTSPLIT(D30, " "), 5)),
    IF(RIGHT(_xlpm.v,1)=":", LEFT(_xlpm.v, LEN(_xlpm.v)-1), _xlpm.v)
)</f>
        <v>192.168.100.29.domain</v>
      </c>
      <c r="J30" s="39" t="str" cm="1">
        <f t="array" ref="J30">TRIM(INDEX(_xlfn.TEXTSPLIT(MID(D30, FIND(":", D30, FIND("&gt;", D30)) + 2, 999), " "), 1))</f>
        <v>35586+</v>
      </c>
      <c r="K30" s="39" t="str" cm="1">
        <f t="array" ref="K30">TRIM(INDEX(_xlfn.TEXTSPLIT(MID(D30, FIND(":", D30, FIND("&gt;", D30)) + 2, 999), " "), 2))</f>
        <v>[1au]</v>
      </c>
      <c r="L30" s="6" t="str" cm="1">
        <f t="array" ref="L30">TRIM(INDEX(_xlfn.TEXTSPLIT(MID(D30, FIND(":", D30, FIND("&gt;", D30)) + 2, 999), " "), 3))</f>
        <v>A?</v>
      </c>
      <c r="M30" s="6" t="str" cm="1">
        <f t="array" ref="M30">TRIM(INDEX(_xlfn.TEXTSPLIT(MID(D30, FIND(":", D30, FIND("&gt;", D30)) + 2, 999), " "), 4))</f>
        <v>web-test.example.com.</v>
      </c>
      <c r="N30" s="6" t="str" cm="1">
        <f t="array" ref="N30">TRIM(INDEX(_xlfn.TEXTSPLIT(MID(D30, FIND(":", D30, FIND("&gt;", D30)) + 2, 999), " "), 5))</f>
        <v>(61)</v>
      </c>
    </row>
    <row r="31" spans="1:14" x14ac:dyDescent="0.45">
      <c r="A31" s="6" t="s">
        <v>582</v>
      </c>
      <c r="B31" s="6" t="str">
        <f t="shared" si="0"/>
        <v>返り</v>
      </c>
      <c r="C31" s="6" t="str">
        <f t="shared" si="1"/>
        <v>正引き</v>
      </c>
      <c r="D31" s="6" t="s">
        <v>821</v>
      </c>
      <c r="E31" s="39" t="str" cm="1">
        <f t="array" ref="E31">TRIM(INDEX(_xlfn.TEXTSPLIT(D31, " "), 1))</f>
        <v>08:46:47.905184</v>
      </c>
      <c r="F31" s="39" t="str" cm="1">
        <f t="array" ref="F31">TRIM(INDEX(_xlfn.TEXTSPLIT(D31, " "), 2))</f>
        <v>IP</v>
      </c>
      <c r="G31" s="39" t="str" cm="1">
        <f t="array" ref="G31">TRIM(INDEX(_xlfn.TEXTSPLIT(D31, " "), 3))</f>
        <v>192.168.100.29.domain</v>
      </c>
      <c r="H31" s="39" t="str" cm="1">
        <f t="array" ref="H31">TRIM(INDEX(_xlfn.TEXTSPLIT(D31, " "), 4))</f>
        <v>&gt;</v>
      </c>
      <c r="I31" s="39" t="str" cm="1">
        <f t="array" ref="I31">_xlfn.LET(
    _xlpm.v, TRIM(INDEX(_xlfn.TEXTSPLIT(D31, " "), 5)),
    IF(RIGHT(_xlpm.v,1)=":", LEFT(_xlpm.v, LEN(_xlpm.v)-1), _xlpm.v)
)</f>
        <v>192.168.110.9.37192</v>
      </c>
      <c r="J31" s="39" t="str" cm="1">
        <f t="array" ref="J31">TRIM(INDEX(_xlfn.TEXTSPLIT(MID(D31, FIND(":", D31, FIND("&gt;", D31)) + 2, 999), " "), 1))</f>
        <v>35586*</v>
      </c>
      <c r="K31" s="39" t="str" cm="1">
        <f t="array" ref="K31">TRIM(INDEX(_xlfn.TEXTSPLIT(MID(D31, FIND(":", D31, FIND("&gt;", D31)) + 2, 999), " "), 2))</f>
        <v>1/0/1</v>
      </c>
      <c r="L31" s="6" t="str" cm="1">
        <f t="array" ref="L31">TRIM(INDEX(_xlfn.TEXTSPLIT(MID(D31, FIND(":", D31, FIND("&gt;", D31)) + 2, 999), " "), 3))</f>
        <v>A</v>
      </c>
      <c r="M31" s="6" t="str" cm="1">
        <f t="array" ref="M31">TRIM(INDEX(_xlfn.TEXTSPLIT(MID(D31, FIND(":", D31, FIND("&gt;", D31)) + 2, 999), " "), 4))</f>
        <v>192.168.110.9</v>
      </c>
      <c r="N31" s="6" t="str" cm="1">
        <f t="array" ref="N31">TRIM(INDEX(_xlfn.TEXTSPLIT(MID(D31, FIND(":", D31, FIND("&gt;", D31)) + 2, 999), " "), 5))</f>
        <v>(93)</v>
      </c>
    </row>
    <row r="32" spans="1:14" x14ac:dyDescent="0.45">
      <c r="A32" s="6" t="s">
        <v>581</v>
      </c>
      <c r="B32" s="6" t="str">
        <f t="shared" si="0"/>
        <v>行き</v>
      </c>
      <c r="C32" s="6" t="str">
        <f t="shared" si="1"/>
        <v>逆引き</v>
      </c>
      <c r="D32" s="6" t="s">
        <v>822</v>
      </c>
      <c r="E32" s="39" t="str" cm="1">
        <f t="array" ref="E32">TRIM(INDEX(_xlfn.TEXTSPLIT(D32, " "), 1))</f>
        <v>08:46:55.730475</v>
      </c>
      <c r="F32" s="39" t="str" cm="1">
        <f t="array" ref="F32">TRIM(INDEX(_xlfn.TEXTSPLIT(D32, " "), 2))</f>
        <v>IP</v>
      </c>
      <c r="G32" s="39" t="str" cm="1">
        <f t="array" ref="G32">TRIM(INDEX(_xlfn.TEXTSPLIT(D32, " "), 3))</f>
        <v>192.168.110.9.47446</v>
      </c>
      <c r="H32" s="39" t="str" cm="1">
        <f t="array" ref="H32">TRIM(INDEX(_xlfn.TEXTSPLIT(D32, " "), 4))</f>
        <v>&gt;</v>
      </c>
      <c r="I32" s="39" t="str" cm="1">
        <f t="array" ref="I32">_xlfn.LET(
    _xlpm.v, TRIM(INDEX(_xlfn.TEXTSPLIT(D32, " "), 5)),
    IF(RIGHT(_xlpm.v,1)=":", LEFT(_xlpm.v, LEN(_xlpm.v)-1), _xlpm.v)
)</f>
        <v>192.168.100.29.domain</v>
      </c>
      <c r="J32" s="39" t="str" cm="1">
        <f t="array" ref="J32">TRIM(INDEX(_xlfn.TEXTSPLIT(MID(D32, FIND(":", D32, FIND("&gt;", D32)) + 2, 999), " "), 1))</f>
        <v>26040+</v>
      </c>
      <c r="K32" s="39" t="str" cm="1">
        <f t="array" ref="K32">TRIM(INDEX(_xlfn.TEXTSPLIT(MID(D32, FIND(":", D32, FIND("&gt;", D32)) + 2, 999), " "), 2))</f>
        <v>[1au]</v>
      </c>
      <c r="L32" s="6" t="str" cm="1">
        <f t="array" ref="L32">TRIM(INDEX(_xlfn.TEXTSPLIT(MID(D32, FIND(":", D32, FIND("&gt;", D32)) + 2, 999), " "), 3))</f>
        <v>PTR?</v>
      </c>
      <c r="M32" s="6" t="str" cm="1">
        <f t="array" ref="M32">TRIM(INDEX(_xlfn.TEXTSPLIT(MID(D32, FIND(":", D32, FIND("&gt;", D32)) + 2, 999), " "), 4))</f>
        <v>9.110.168.192.in-addr.arpa.</v>
      </c>
      <c r="N32" s="6" t="str" cm="1">
        <f t="array" ref="N32">TRIM(INDEX(_xlfn.TEXTSPLIT(MID(D32, FIND(":", D32, FIND("&gt;", D32)) + 2, 999), " "), 5))</f>
        <v>(67)</v>
      </c>
    </row>
    <row r="33" spans="1:14" x14ac:dyDescent="0.45">
      <c r="A33" s="6" t="s">
        <v>582</v>
      </c>
      <c r="B33" s="6" t="str">
        <f t="shared" si="0"/>
        <v>返り</v>
      </c>
      <c r="C33" s="6" t="str">
        <f t="shared" si="1"/>
        <v>逆引き</v>
      </c>
      <c r="D33" s="6" t="s">
        <v>823</v>
      </c>
      <c r="E33" s="39" t="str" cm="1">
        <f t="array" ref="E33">TRIM(INDEX(_xlfn.TEXTSPLIT(D33, " "), 1))</f>
        <v>08:46:55.730642</v>
      </c>
      <c r="F33" s="39" t="str" cm="1">
        <f t="array" ref="F33">TRIM(INDEX(_xlfn.TEXTSPLIT(D33, " "), 2))</f>
        <v>IP</v>
      </c>
      <c r="G33" s="39" t="str" cm="1">
        <f t="array" ref="G33">TRIM(INDEX(_xlfn.TEXTSPLIT(D33, " "), 3))</f>
        <v>192.168.100.29.domain</v>
      </c>
      <c r="H33" s="39" t="str" cm="1">
        <f t="array" ref="H33">TRIM(INDEX(_xlfn.TEXTSPLIT(D33, " "), 4))</f>
        <v>&gt;</v>
      </c>
      <c r="I33" s="39" t="str" cm="1">
        <f t="array" ref="I33">_xlfn.LET(
    _xlpm.v, TRIM(INDEX(_xlfn.TEXTSPLIT(D33, " "), 5)),
    IF(RIGHT(_xlpm.v,1)=":", LEFT(_xlpm.v, LEN(_xlpm.v)-1), _xlpm.v)
)</f>
        <v>192.168.110.9.47446</v>
      </c>
      <c r="J33" s="39" t="str" cm="1">
        <f t="array" ref="J33">TRIM(INDEX(_xlfn.TEXTSPLIT(MID(D33, FIND(":", D33, FIND("&gt;", D33)) + 2, 999), " "), 1))</f>
        <v>26040*</v>
      </c>
      <c r="K33" s="39" t="str" cm="1">
        <f t="array" ref="K33">TRIM(INDEX(_xlfn.TEXTSPLIT(MID(D33, FIND(":", D33, FIND("&gt;", D33)) + 2, 999), " "), 2))</f>
        <v>1/0/1</v>
      </c>
      <c r="L33" s="6" t="str" cm="1">
        <f t="array" ref="L33">TRIM(INDEX(_xlfn.TEXTSPLIT(MID(D33, FIND(":", D33, FIND("&gt;", D33)) + 2, 999), " "), 3))</f>
        <v>PTR</v>
      </c>
      <c r="M33" s="6" t="str" cm="1">
        <f t="array" ref="M33">TRIM(INDEX(_xlfn.TEXTSPLIT(MID(D33, FIND(":", D33, FIND("&gt;", D33)) + 2, 999), " "), 4))</f>
        <v>web-test.example.com.</v>
      </c>
      <c r="N33" s="6" t="str" cm="1">
        <f t="array" ref="N33">TRIM(INDEX(_xlfn.TEXTSPLIT(MID(D33, FIND(":", D33, FIND("&gt;", D33)) + 2, 999), " "), 5))</f>
        <v>(117)</v>
      </c>
    </row>
    <row r="34" spans="1:14" x14ac:dyDescent="0.45">
      <c r="A34" s="6" t="s">
        <v>583</v>
      </c>
      <c r="B34" s="6" t="str">
        <f t="shared" si="0"/>
        <v>行き</v>
      </c>
      <c r="C34" s="6" t="str">
        <f t="shared" si="1"/>
        <v>正引き</v>
      </c>
      <c r="D34" s="6" t="s">
        <v>840</v>
      </c>
      <c r="E34" s="39" t="str" cm="1">
        <f t="array" ref="E34">TRIM(INDEX(_xlfn.TEXTSPLIT(D34, " "), 1))</f>
        <v>08:47:28.045144</v>
      </c>
      <c r="F34" s="39" t="str" cm="1">
        <f t="array" ref="F34">TRIM(INDEX(_xlfn.TEXTSPLIT(D34, " "), 2))</f>
        <v>IP</v>
      </c>
      <c r="G34" s="39" t="str" cm="1">
        <f t="array" ref="G34">TRIM(INDEX(_xlfn.TEXTSPLIT(D34, " "), 3))</f>
        <v>192.168.110.10.39610</v>
      </c>
      <c r="H34" s="39" t="str" cm="1">
        <f t="array" ref="H34">TRIM(INDEX(_xlfn.TEXTSPLIT(D34, " "), 4))</f>
        <v>&gt;</v>
      </c>
      <c r="I34" s="39" t="str" cm="1">
        <f t="array" ref="I34">_xlfn.LET(
    _xlpm.v, TRIM(INDEX(_xlfn.TEXTSPLIT(D34, " "), 5)),
    IF(RIGHT(_xlpm.v,1)=":", LEFT(_xlpm.v, LEN(_xlpm.v)-1), _xlpm.v)
)</f>
        <v>192.168.100.29.domain</v>
      </c>
      <c r="J34" s="39" t="str" cm="1">
        <f t="array" ref="J34">TRIM(INDEX(_xlfn.TEXTSPLIT(MID(D34, FIND(":", D34, FIND("&gt;", D34)) + 2, 999), " "), 1))</f>
        <v>53084+</v>
      </c>
      <c r="K34" s="39" t="str" cm="1">
        <f t="array" ref="K34">TRIM(INDEX(_xlfn.TEXTSPLIT(MID(D34, FIND(":", D34, FIND("&gt;", D34)) + 2, 999), " "), 2))</f>
        <v>[1au]</v>
      </c>
      <c r="L34" s="6" t="str" cm="1">
        <f t="array" ref="L34">TRIM(INDEX(_xlfn.TEXTSPLIT(MID(D34, FIND(":", D34, FIND("&gt;", D34)) + 2, 999), " "), 3))</f>
        <v>A?</v>
      </c>
      <c r="M34" s="6" t="str" cm="1">
        <f t="array" ref="M34">TRIM(INDEX(_xlfn.TEXTSPLIT(MID(D34, FIND(":", D34, FIND("&gt;", D34)) + 2, 999), " "), 4))</f>
        <v>ap-test.example.com.</v>
      </c>
      <c r="N34" s="6" t="str" cm="1">
        <f t="array" ref="N34">TRIM(INDEX(_xlfn.TEXTSPLIT(MID(D34, FIND(":", D34, FIND("&gt;", D34)) + 2, 999), " "), 5))</f>
        <v>(60)</v>
      </c>
    </row>
    <row r="35" spans="1:14" x14ac:dyDescent="0.45">
      <c r="A35" s="6" t="s">
        <v>584</v>
      </c>
      <c r="B35" s="6" t="str">
        <f t="shared" si="0"/>
        <v>返り</v>
      </c>
      <c r="C35" s="6" t="str">
        <f t="shared" si="1"/>
        <v>正引き</v>
      </c>
      <c r="D35" s="6" t="s">
        <v>841</v>
      </c>
      <c r="E35" s="39" t="str" cm="1">
        <f t="array" ref="E35">TRIM(INDEX(_xlfn.TEXTSPLIT(D35, " "), 1))</f>
        <v>08:47:28.045304</v>
      </c>
      <c r="F35" s="39" t="str" cm="1">
        <f t="array" ref="F35">TRIM(INDEX(_xlfn.TEXTSPLIT(D35, " "), 2))</f>
        <v>IP</v>
      </c>
      <c r="G35" s="39" t="str" cm="1">
        <f t="array" ref="G35">TRIM(INDEX(_xlfn.TEXTSPLIT(D35, " "), 3))</f>
        <v>192.168.100.29.domain</v>
      </c>
      <c r="H35" s="39" t="str" cm="1">
        <f t="array" ref="H35">TRIM(INDEX(_xlfn.TEXTSPLIT(D35, " "), 4))</f>
        <v>&gt;</v>
      </c>
      <c r="I35" s="39" t="str" cm="1">
        <f t="array" ref="I35">_xlfn.LET(
    _xlpm.v, TRIM(INDEX(_xlfn.TEXTSPLIT(D35, " "), 5)),
    IF(RIGHT(_xlpm.v,1)=":", LEFT(_xlpm.v, LEN(_xlpm.v)-1), _xlpm.v)
)</f>
        <v>192.168.110.10.39610</v>
      </c>
      <c r="J35" s="39" t="str" cm="1">
        <f t="array" ref="J35">TRIM(INDEX(_xlfn.TEXTSPLIT(MID(D35, FIND(":", D35, FIND("&gt;", D35)) + 2, 999), " "), 1))</f>
        <v>53084*</v>
      </c>
      <c r="K35" s="39" t="str" cm="1">
        <f t="array" ref="K35">TRIM(INDEX(_xlfn.TEXTSPLIT(MID(D35, FIND(":", D35, FIND("&gt;", D35)) + 2, 999), " "), 2))</f>
        <v>1/0/1</v>
      </c>
      <c r="L35" s="6" t="str" cm="1">
        <f t="array" ref="L35">TRIM(INDEX(_xlfn.TEXTSPLIT(MID(D35, FIND(":", D35, FIND("&gt;", D35)) + 2, 999), " "), 3))</f>
        <v>A</v>
      </c>
      <c r="M35" s="6" t="str" cm="1">
        <f t="array" ref="M35">TRIM(INDEX(_xlfn.TEXTSPLIT(MID(D35, FIND(":", D35, FIND("&gt;", D35)) + 2, 999), " "), 4))</f>
        <v>192.168.110.10</v>
      </c>
      <c r="N35" s="6" t="str" cm="1">
        <f t="array" ref="N35">TRIM(INDEX(_xlfn.TEXTSPLIT(MID(D35, FIND(":", D35, FIND("&gt;", D35)) + 2, 999), " "), 5))</f>
        <v>(92)</v>
      </c>
    </row>
    <row r="36" spans="1:14" x14ac:dyDescent="0.45">
      <c r="A36" s="6" t="s">
        <v>583</v>
      </c>
      <c r="B36" s="6" t="str">
        <f t="shared" si="0"/>
        <v>行き</v>
      </c>
      <c r="C36" s="6" t="str">
        <f t="shared" si="1"/>
        <v>逆引き</v>
      </c>
      <c r="D36" s="6" t="s">
        <v>842</v>
      </c>
      <c r="E36" s="39" t="str" cm="1">
        <f t="array" ref="E36">TRIM(INDEX(_xlfn.TEXTSPLIT(D36, " "), 1))</f>
        <v>08:47:43.744310</v>
      </c>
      <c r="F36" s="39" t="str" cm="1">
        <f t="array" ref="F36">TRIM(INDEX(_xlfn.TEXTSPLIT(D36, " "), 2))</f>
        <v>IP</v>
      </c>
      <c r="G36" s="39" t="str" cm="1">
        <f t="array" ref="G36">TRIM(INDEX(_xlfn.TEXTSPLIT(D36, " "), 3))</f>
        <v>192.168.110.10.42471</v>
      </c>
      <c r="H36" s="39" t="str" cm="1">
        <f t="array" ref="H36">TRIM(INDEX(_xlfn.TEXTSPLIT(D36, " "), 4))</f>
        <v>&gt;</v>
      </c>
      <c r="I36" s="39" t="str" cm="1">
        <f t="array" ref="I36">_xlfn.LET(
    _xlpm.v, TRIM(INDEX(_xlfn.TEXTSPLIT(D36, " "), 5)),
    IF(RIGHT(_xlpm.v,1)=":", LEFT(_xlpm.v, LEN(_xlpm.v)-1), _xlpm.v)
)</f>
        <v>192.168.100.29.domain</v>
      </c>
      <c r="J36" s="39" t="str" cm="1">
        <f t="array" ref="J36">TRIM(INDEX(_xlfn.TEXTSPLIT(MID(D36, FIND(":", D36, FIND("&gt;", D36)) + 2, 999), " "), 1))</f>
        <v>13438+</v>
      </c>
      <c r="K36" s="39" t="str" cm="1">
        <f t="array" ref="K36">TRIM(INDEX(_xlfn.TEXTSPLIT(MID(D36, FIND(":", D36, FIND("&gt;", D36)) + 2, 999), " "), 2))</f>
        <v>[1au]</v>
      </c>
      <c r="L36" s="6" t="str" cm="1">
        <f t="array" ref="L36">TRIM(INDEX(_xlfn.TEXTSPLIT(MID(D36, FIND(":", D36, FIND("&gt;", D36)) + 2, 999), " "), 3))</f>
        <v>PTR?</v>
      </c>
      <c r="M36" s="6" t="str" cm="1">
        <f t="array" ref="M36">TRIM(INDEX(_xlfn.TEXTSPLIT(MID(D36, FIND(":", D36, FIND("&gt;", D36)) + 2, 999), " "), 4))</f>
        <v>10.110.168.192.in-addr.arpa.</v>
      </c>
      <c r="N36" s="6" t="str" cm="1">
        <f t="array" ref="N36">TRIM(INDEX(_xlfn.TEXTSPLIT(MID(D36, FIND(":", D36, FIND("&gt;", D36)) + 2, 999), " "), 5))</f>
        <v>(68)</v>
      </c>
    </row>
    <row r="37" spans="1:14" x14ac:dyDescent="0.45">
      <c r="A37" s="6" t="s">
        <v>584</v>
      </c>
      <c r="B37" s="6" t="str">
        <f t="shared" si="0"/>
        <v>返り</v>
      </c>
      <c r="C37" s="6" t="str">
        <f t="shared" si="1"/>
        <v>逆引き</v>
      </c>
      <c r="D37" s="6" t="s">
        <v>843</v>
      </c>
      <c r="E37" s="39" t="str" cm="1">
        <f t="array" ref="E37">TRIM(INDEX(_xlfn.TEXTSPLIT(D37, " "), 1))</f>
        <v>08:47:43.744518</v>
      </c>
      <c r="F37" s="39" t="str" cm="1">
        <f t="array" ref="F37">TRIM(INDEX(_xlfn.TEXTSPLIT(D37, " "), 2))</f>
        <v>IP</v>
      </c>
      <c r="G37" s="39" t="str" cm="1">
        <f t="array" ref="G37">TRIM(INDEX(_xlfn.TEXTSPLIT(D37, " "), 3))</f>
        <v>192.168.100.29.domain</v>
      </c>
      <c r="H37" s="39" t="str" cm="1">
        <f t="array" ref="H37">TRIM(INDEX(_xlfn.TEXTSPLIT(D37, " "), 4))</f>
        <v>&gt;</v>
      </c>
      <c r="I37" s="39" t="str" cm="1">
        <f t="array" ref="I37">_xlfn.LET(
    _xlpm.v, TRIM(INDEX(_xlfn.TEXTSPLIT(D37, " "), 5)),
    IF(RIGHT(_xlpm.v,1)=":", LEFT(_xlpm.v, LEN(_xlpm.v)-1), _xlpm.v)
)</f>
        <v>192.168.110.10.42471</v>
      </c>
      <c r="J37" s="39" t="str" cm="1">
        <f t="array" ref="J37">TRIM(INDEX(_xlfn.TEXTSPLIT(MID(D37, FIND(":", D37, FIND("&gt;", D37)) + 2, 999), " "), 1))</f>
        <v>13438*</v>
      </c>
      <c r="K37" s="39" t="str" cm="1">
        <f t="array" ref="K37">TRIM(INDEX(_xlfn.TEXTSPLIT(MID(D37, FIND(":", D37, FIND("&gt;", D37)) + 2, 999), " "), 2))</f>
        <v>1/0/1</v>
      </c>
      <c r="L37" s="6" t="str" cm="1">
        <f t="array" ref="L37">TRIM(INDEX(_xlfn.TEXTSPLIT(MID(D37, FIND(":", D37, FIND("&gt;", D37)) + 2, 999), " "), 3))</f>
        <v>PTR</v>
      </c>
      <c r="M37" s="6" t="str" cm="1">
        <f t="array" ref="M37">TRIM(INDEX(_xlfn.TEXTSPLIT(MID(D37, FIND(":", D37, FIND("&gt;", D37)) + 2, 999), " "), 4))</f>
        <v>ap-test.example.com.</v>
      </c>
      <c r="N37" s="6" t="str" cm="1">
        <f t="array" ref="N37">TRIM(INDEX(_xlfn.TEXTSPLIT(MID(D37, FIND(":", D37, FIND("&gt;", D37)) + 2, 999), " "), 5))</f>
        <v>(117)</v>
      </c>
    </row>
    <row r="38" spans="1:14" x14ac:dyDescent="0.45">
      <c r="A38" s="6" t="s">
        <v>585</v>
      </c>
      <c r="B38" s="6" t="str">
        <f t="shared" si="0"/>
        <v>行き</v>
      </c>
      <c r="C38" s="6" t="str">
        <f t="shared" si="1"/>
        <v>正引き</v>
      </c>
      <c r="D38" s="6" t="s">
        <v>844</v>
      </c>
      <c r="E38" s="39" t="str" cm="1">
        <f t="array" ref="E38">TRIM(INDEX(_xlfn.TEXTSPLIT(D38, " "), 1))</f>
        <v>08:48:09.498560</v>
      </c>
      <c r="F38" s="39" t="str" cm="1">
        <f t="array" ref="F38">TRIM(INDEX(_xlfn.TEXTSPLIT(D38, " "), 2))</f>
        <v>IP</v>
      </c>
      <c r="G38" s="39" t="str" cm="1">
        <f t="array" ref="G38">TRIM(INDEX(_xlfn.TEXTSPLIT(D38, " "), 3))</f>
        <v>192.168.120.7.42143</v>
      </c>
      <c r="H38" s="39" t="str" cm="1">
        <f t="array" ref="H38">TRIM(INDEX(_xlfn.TEXTSPLIT(D38, " "), 4))</f>
        <v>&gt;</v>
      </c>
      <c r="I38" s="39" t="str" cm="1">
        <f t="array" ref="I38">_xlfn.LET(
    _xlpm.v, TRIM(INDEX(_xlfn.TEXTSPLIT(D38, " "), 5)),
    IF(RIGHT(_xlpm.v,1)=":", LEFT(_xlpm.v, LEN(_xlpm.v)-1), _xlpm.v)
)</f>
        <v>192.168.100.29.domain</v>
      </c>
      <c r="J38" s="39" t="str" cm="1">
        <f t="array" ref="J38">TRIM(INDEX(_xlfn.TEXTSPLIT(MID(D38, FIND(":", D38, FIND("&gt;", D38)) + 2, 999), " "), 1))</f>
        <v>61361+</v>
      </c>
      <c r="K38" s="39" t="str" cm="1">
        <f t="array" ref="K38">TRIM(INDEX(_xlfn.TEXTSPLIT(MID(D38, FIND(":", D38, FIND("&gt;", D38)) + 2, 999), " "), 2))</f>
        <v>[1au]</v>
      </c>
      <c r="L38" s="6" t="str" cm="1">
        <f t="array" ref="L38">TRIM(INDEX(_xlfn.TEXTSPLIT(MID(D38, FIND(":", D38, FIND("&gt;", D38)) + 2, 999), " "), 3))</f>
        <v>A?</v>
      </c>
      <c r="M38" s="6" t="str" cm="1">
        <f t="array" ref="M38">TRIM(INDEX(_xlfn.TEXTSPLIT(MID(D38, FIND(":", D38, FIND("&gt;", D38)) + 2, 999), " "), 4))</f>
        <v>db-test.example.com.</v>
      </c>
      <c r="N38" s="6" t="str" cm="1">
        <f t="array" ref="N38">TRIM(INDEX(_xlfn.TEXTSPLIT(MID(D38, FIND(":", D38, FIND("&gt;", D38)) + 2, 999), " "), 5))</f>
        <v>(60)</v>
      </c>
    </row>
    <row r="39" spans="1:14" x14ac:dyDescent="0.45">
      <c r="A39" s="6" t="s">
        <v>586</v>
      </c>
      <c r="B39" s="6" t="str">
        <f t="shared" si="0"/>
        <v>返り</v>
      </c>
      <c r="C39" s="6" t="str">
        <f t="shared" si="1"/>
        <v>正引き</v>
      </c>
      <c r="D39" s="6" t="s">
        <v>845</v>
      </c>
      <c r="E39" s="39" t="str" cm="1">
        <f t="array" ref="E39">TRIM(INDEX(_xlfn.TEXTSPLIT(D39, " "), 1))</f>
        <v>08:48:09.498779</v>
      </c>
      <c r="F39" s="39" t="str" cm="1">
        <f t="array" ref="F39">TRIM(INDEX(_xlfn.TEXTSPLIT(D39, " "), 2))</f>
        <v>IP</v>
      </c>
      <c r="G39" s="39" t="str" cm="1">
        <f t="array" ref="G39">TRIM(INDEX(_xlfn.TEXTSPLIT(D39, " "), 3))</f>
        <v>192.168.100.29.domain</v>
      </c>
      <c r="H39" s="39" t="str" cm="1">
        <f t="array" ref="H39">TRIM(INDEX(_xlfn.TEXTSPLIT(D39, " "), 4))</f>
        <v>&gt;</v>
      </c>
      <c r="I39" s="39" t="str" cm="1">
        <f t="array" ref="I39">_xlfn.LET(
    _xlpm.v, TRIM(INDEX(_xlfn.TEXTSPLIT(D39, " "), 5)),
    IF(RIGHT(_xlpm.v,1)=":", LEFT(_xlpm.v, LEN(_xlpm.v)-1), _xlpm.v)
)</f>
        <v>192.168.120.7.42143</v>
      </c>
      <c r="J39" s="39" t="str" cm="1">
        <f t="array" ref="J39">TRIM(INDEX(_xlfn.TEXTSPLIT(MID(D39, FIND(":", D39, FIND("&gt;", D39)) + 2, 999), " "), 1))</f>
        <v>61361*</v>
      </c>
      <c r="K39" s="39" t="str" cm="1">
        <f t="array" ref="K39">TRIM(INDEX(_xlfn.TEXTSPLIT(MID(D39, FIND(":", D39, FIND("&gt;", D39)) + 2, 999), " "), 2))</f>
        <v>1/0/1</v>
      </c>
      <c r="L39" s="6" t="str" cm="1">
        <f t="array" ref="L39">TRIM(INDEX(_xlfn.TEXTSPLIT(MID(D39, FIND(":", D39, FIND("&gt;", D39)) + 2, 999), " "), 3))</f>
        <v>A</v>
      </c>
      <c r="M39" s="6" t="str" cm="1">
        <f t="array" ref="M39">TRIM(INDEX(_xlfn.TEXTSPLIT(MID(D39, FIND(":", D39, FIND("&gt;", D39)) + 2, 999), " "), 4))</f>
        <v>192.168.120.7</v>
      </c>
      <c r="N39" s="6" t="str" cm="1">
        <f t="array" ref="N39">TRIM(INDEX(_xlfn.TEXTSPLIT(MID(D39, FIND(":", D39, FIND("&gt;", D39)) + 2, 999), " "), 5))</f>
        <v>(92)</v>
      </c>
    </row>
    <row r="40" spans="1:14" x14ac:dyDescent="0.45">
      <c r="A40" s="6" t="s">
        <v>585</v>
      </c>
      <c r="B40" s="6" t="str">
        <f t="shared" si="0"/>
        <v>行き</v>
      </c>
      <c r="C40" s="6" t="str">
        <f t="shared" si="1"/>
        <v>逆引き</v>
      </c>
      <c r="D40" s="6" t="s">
        <v>846</v>
      </c>
      <c r="E40" s="39" t="str" cm="1">
        <f t="array" ref="E40">TRIM(INDEX(_xlfn.TEXTSPLIT(D40, " "), 1))</f>
        <v>08:48:21.171950</v>
      </c>
      <c r="F40" s="39" t="str" cm="1">
        <f t="array" ref="F40">TRIM(INDEX(_xlfn.TEXTSPLIT(D40, " "), 2))</f>
        <v>IP</v>
      </c>
      <c r="G40" s="39" t="str" cm="1">
        <f t="array" ref="G40">TRIM(INDEX(_xlfn.TEXTSPLIT(D40, " "), 3))</f>
        <v>192.168.120.7.51009</v>
      </c>
      <c r="H40" s="39" t="str" cm="1">
        <f t="array" ref="H40">TRIM(INDEX(_xlfn.TEXTSPLIT(D40, " "), 4))</f>
        <v>&gt;</v>
      </c>
      <c r="I40" s="39" t="str" cm="1">
        <f t="array" ref="I40">_xlfn.LET(
    _xlpm.v, TRIM(INDEX(_xlfn.TEXTSPLIT(D40, " "), 5)),
    IF(RIGHT(_xlpm.v,1)=":", LEFT(_xlpm.v, LEN(_xlpm.v)-1), _xlpm.v)
)</f>
        <v>192.168.100.29.domain</v>
      </c>
      <c r="J40" s="39" t="str" cm="1">
        <f t="array" ref="J40">TRIM(INDEX(_xlfn.TEXTSPLIT(MID(D40, FIND(":", D40, FIND("&gt;", D40)) + 2, 999), " "), 1))</f>
        <v>886+</v>
      </c>
      <c r="K40" s="39" t="str" cm="1">
        <f t="array" ref="K40">TRIM(INDEX(_xlfn.TEXTSPLIT(MID(D40, FIND(":", D40, FIND("&gt;", D40)) + 2, 999), " "), 2))</f>
        <v>[1au]</v>
      </c>
      <c r="L40" s="6" t="str" cm="1">
        <f t="array" ref="L40">TRIM(INDEX(_xlfn.TEXTSPLIT(MID(D40, FIND(":", D40, FIND("&gt;", D40)) + 2, 999), " "), 3))</f>
        <v>PTR?</v>
      </c>
      <c r="M40" s="6" t="str" cm="1">
        <f t="array" ref="M40">TRIM(INDEX(_xlfn.TEXTSPLIT(MID(D40, FIND(":", D40, FIND("&gt;", D40)) + 2, 999), " "), 4))</f>
        <v>7.120.168.192.in-addr.arpa.</v>
      </c>
      <c r="N40" s="6" t="str" cm="1">
        <f t="array" ref="N40">TRIM(INDEX(_xlfn.TEXTSPLIT(MID(D40, FIND(":", D40, FIND("&gt;", D40)) + 2, 999), " "), 5))</f>
        <v>(67)</v>
      </c>
    </row>
    <row r="41" spans="1:14" x14ac:dyDescent="0.45">
      <c r="A41" s="6" t="s">
        <v>586</v>
      </c>
      <c r="B41" s="6" t="str">
        <f t="shared" si="0"/>
        <v>返り</v>
      </c>
      <c r="C41" s="6" t="str">
        <f t="shared" si="1"/>
        <v>逆引き</v>
      </c>
      <c r="D41" s="6" t="s">
        <v>847</v>
      </c>
      <c r="E41" s="39" t="str" cm="1">
        <f t="array" ref="E41">TRIM(INDEX(_xlfn.TEXTSPLIT(D41, " "), 1))</f>
        <v>08:48:21.174214</v>
      </c>
      <c r="F41" s="39" t="str" cm="1">
        <f t="array" ref="F41">TRIM(INDEX(_xlfn.TEXTSPLIT(D41, " "), 2))</f>
        <v>IP</v>
      </c>
      <c r="G41" s="39" t="str" cm="1">
        <f t="array" ref="G41">TRIM(INDEX(_xlfn.TEXTSPLIT(D41, " "), 3))</f>
        <v>192.168.100.29.domain</v>
      </c>
      <c r="H41" s="39" t="str" cm="1">
        <f t="array" ref="H41">TRIM(INDEX(_xlfn.TEXTSPLIT(D41, " "), 4))</f>
        <v>&gt;</v>
      </c>
      <c r="I41" s="39" t="str" cm="1">
        <f t="array" ref="I41">_xlfn.LET(
    _xlpm.v, TRIM(INDEX(_xlfn.TEXTSPLIT(D41, " "), 5)),
    IF(RIGHT(_xlpm.v,1)=":", LEFT(_xlpm.v, LEN(_xlpm.v)-1), _xlpm.v)
)</f>
        <v>192.168.120.7.51009</v>
      </c>
      <c r="J41" s="39" t="str" cm="1">
        <f t="array" ref="J41">TRIM(INDEX(_xlfn.TEXTSPLIT(MID(D41, FIND(":", D41, FIND("&gt;", D41)) + 2, 999), " "), 1))</f>
        <v>886*</v>
      </c>
      <c r="K41" s="39" t="str" cm="1">
        <f t="array" ref="K41">TRIM(INDEX(_xlfn.TEXTSPLIT(MID(D41, FIND(":", D41, FIND("&gt;", D41)) + 2, 999), " "), 2))</f>
        <v>1/0/1</v>
      </c>
      <c r="L41" s="6" t="str" cm="1">
        <f t="array" ref="L41">TRIM(INDEX(_xlfn.TEXTSPLIT(MID(D41, FIND(":", D41, FIND("&gt;", D41)) + 2, 999), " "), 3))</f>
        <v>PTR</v>
      </c>
      <c r="M41" s="6" t="str" cm="1">
        <f t="array" ref="M41">TRIM(INDEX(_xlfn.TEXTSPLIT(MID(D41, FIND(":", D41, FIND("&gt;", D41)) + 2, 999), " "), 4))</f>
        <v>db-test.example.com.</v>
      </c>
      <c r="N41" s="6" t="str" cm="1">
        <f t="array" ref="N41">TRIM(INDEX(_xlfn.TEXTSPLIT(MID(D41, FIND(":", D41, FIND("&gt;", D41)) + 2, 999), " "), 5))</f>
        <v>(116)</v>
      </c>
    </row>
    <row r="42" spans="1:14" x14ac:dyDescent="0.45">
      <c r="A42" s="4" t="s">
        <v>154</v>
      </c>
    </row>
    <row r="43" spans="1:14" x14ac:dyDescent="0.45">
      <c r="A43" s="4" t="s">
        <v>155</v>
      </c>
    </row>
    <row r="45" spans="1:14" x14ac:dyDescent="0.45">
      <c r="A45" s="12" t="s">
        <v>587</v>
      </c>
    </row>
    <row r="46" spans="1:14" x14ac:dyDescent="0.45">
      <c r="A46" s="4" t="s">
        <v>613</v>
      </c>
    </row>
    <row r="47" spans="1:14" x14ac:dyDescent="0.45">
      <c r="A47" s="4" t="s">
        <v>614</v>
      </c>
    </row>
    <row r="48" spans="1:14" x14ac:dyDescent="0.45">
      <c r="A48" s="4" t="s">
        <v>35</v>
      </c>
    </row>
    <row r="49" spans="1:1" x14ac:dyDescent="0.45">
      <c r="A49" s="4" t="s">
        <v>36</v>
      </c>
    </row>
    <row r="50" spans="1:1" x14ac:dyDescent="0.45">
      <c r="A50" s="4" t="s">
        <v>32</v>
      </c>
    </row>
    <row r="51" spans="1:1" x14ac:dyDescent="0.45">
      <c r="A51" s="23" t="s">
        <v>615</v>
      </c>
    </row>
    <row r="52" spans="1:1" x14ac:dyDescent="0.45">
      <c r="A52" s="23" t="s">
        <v>616</v>
      </c>
    </row>
    <row r="53" spans="1:1" x14ac:dyDescent="0.45">
      <c r="A53" s="23" t="s">
        <v>617</v>
      </c>
    </row>
    <row r="54" spans="1:1" x14ac:dyDescent="0.45">
      <c r="A54" s="23" t="s">
        <v>618</v>
      </c>
    </row>
    <row r="55" spans="1:1" x14ac:dyDescent="0.45">
      <c r="A55" s="23" t="s">
        <v>746</v>
      </c>
    </row>
    <row r="56" spans="1:1" x14ac:dyDescent="0.45">
      <c r="A56" s="23" t="s">
        <v>747</v>
      </c>
    </row>
    <row r="57" spans="1:1" x14ac:dyDescent="0.45">
      <c r="A57" s="23" t="s">
        <v>748</v>
      </c>
    </row>
    <row r="58" spans="1:1" x14ac:dyDescent="0.45">
      <c r="A58" s="23" t="s">
        <v>749</v>
      </c>
    </row>
    <row r="59" spans="1:1" x14ac:dyDescent="0.45">
      <c r="A59" s="23" t="s">
        <v>750</v>
      </c>
    </row>
    <row r="60" spans="1:1" x14ac:dyDescent="0.45">
      <c r="A60" s="23" t="s">
        <v>751</v>
      </c>
    </row>
    <row r="61" spans="1:1" x14ac:dyDescent="0.45">
      <c r="A61" s="4" t="s">
        <v>752</v>
      </c>
    </row>
    <row r="62" spans="1:1" x14ac:dyDescent="0.45">
      <c r="A62" s="4" t="s">
        <v>753</v>
      </c>
    </row>
    <row r="63" spans="1:1" x14ac:dyDescent="0.45">
      <c r="A63" s="4" t="s">
        <v>754</v>
      </c>
    </row>
    <row r="64" spans="1:1" x14ac:dyDescent="0.45">
      <c r="A64" s="4" t="s">
        <v>755</v>
      </c>
    </row>
    <row r="65" spans="1:1" x14ac:dyDescent="0.45">
      <c r="A65" s="4" t="s">
        <v>756</v>
      </c>
    </row>
    <row r="66" spans="1:1" x14ac:dyDescent="0.45">
      <c r="A66" s="4" t="s">
        <v>757</v>
      </c>
    </row>
    <row r="67" spans="1:1" x14ac:dyDescent="0.45">
      <c r="A67" s="4" t="s">
        <v>758</v>
      </c>
    </row>
    <row r="68" spans="1:1" x14ac:dyDescent="0.45">
      <c r="A68" s="4" t="s">
        <v>759</v>
      </c>
    </row>
    <row r="69" spans="1:1" x14ac:dyDescent="0.45">
      <c r="A69" s="4" t="s">
        <v>760</v>
      </c>
    </row>
    <row r="70" spans="1:1" x14ac:dyDescent="0.45">
      <c r="A70" s="4" t="s">
        <v>761</v>
      </c>
    </row>
    <row r="71" spans="1:1" x14ac:dyDescent="0.45">
      <c r="A71" s="4" t="s">
        <v>762</v>
      </c>
    </row>
    <row r="72" spans="1:1" x14ac:dyDescent="0.45">
      <c r="A72" s="4" t="s">
        <v>763</v>
      </c>
    </row>
    <row r="73" spans="1:1" x14ac:dyDescent="0.45">
      <c r="A73" s="4" t="s">
        <v>764</v>
      </c>
    </row>
    <row r="74" spans="1:1" x14ac:dyDescent="0.45">
      <c r="A74" s="4" t="s">
        <v>765</v>
      </c>
    </row>
    <row r="75" spans="1:1" x14ac:dyDescent="0.45">
      <c r="A75" s="4" t="s">
        <v>766</v>
      </c>
    </row>
    <row r="76" spans="1:1" x14ac:dyDescent="0.45">
      <c r="A76" s="4" t="s">
        <v>767</v>
      </c>
    </row>
    <row r="77" spans="1:1" x14ac:dyDescent="0.45">
      <c r="A77" s="4" t="s">
        <v>768</v>
      </c>
    </row>
    <row r="78" spans="1:1" x14ac:dyDescent="0.45">
      <c r="A78" s="4" t="s">
        <v>769</v>
      </c>
    </row>
    <row r="79" spans="1:1" x14ac:dyDescent="0.45">
      <c r="A79" s="4" t="s">
        <v>770</v>
      </c>
    </row>
    <row r="80" spans="1:1" x14ac:dyDescent="0.45">
      <c r="A80" s="4" t="s">
        <v>771</v>
      </c>
    </row>
    <row r="81" spans="1:1" x14ac:dyDescent="0.45">
      <c r="A81" s="4" t="s">
        <v>772</v>
      </c>
    </row>
    <row r="82" spans="1:1" x14ac:dyDescent="0.45">
      <c r="A82" s="4" t="s">
        <v>773</v>
      </c>
    </row>
    <row r="83" spans="1:1" x14ac:dyDescent="0.45">
      <c r="A83" s="4" t="s">
        <v>774</v>
      </c>
    </row>
    <row r="84" spans="1:1" x14ac:dyDescent="0.45">
      <c r="A84" s="4" t="s">
        <v>775</v>
      </c>
    </row>
    <row r="85" spans="1:1" x14ac:dyDescent="0.45">
      <c r="A85" s="4" t="s">
        <v>776</v>
      </c>
    </row>
    <row r="86" spans="1:1" x14ac:dyDescent="0.45">
      <c r="A86" s="4" t="s">
        <v>777</v>
      </c>
    </row>
    <row r="87" spans="1:1" x14ac:dyDescent="0.45">
      <c r="A87" s="4" t="s">
        <v>778</v>
      </c>
    </row>
    <row r="88" spans="1:1" x14ac:dyDescent="0.45">
      <c r="A88" s="4" t="s">
        <v>779</v>
      </c>
    </row>
    <row r="89" spans="1:1" x14ac:dyDescent="0.45">
      <c r="A89" s="4" t="s">
        <v>780</v>
      </c>
    </row>
    <row r="90" spans="1:1" x14ac:dyDescent="0.45">
      <c r="A90" s="4" t="s">
        <v>781</v>
      </c>
    </row>
    <row r="91" spans="1:1" x14ac:dyDescent="0.45">
      <c r="A91" s="4" t="s">
        <v>782</v>
      </c>
    </row>
    <row r="92" spans="1:1" x14ac:dyDescent="0.45">
      <c r="A92" s="4" t="s">
        <v>783</v>
      </c>
    </row>
    <row r="93" spans="1:1" x14ac:dyDescent="0.45">
      <c r="A93" s="4" t="s">
        <v>784</v>
      </c>
    </row>
    <row r="94" spans="1:1" x14ac:dyDescent="0.45">
      <c r="A94" s="4" t="s">
        <v>785</v>
      </c>
    </row>
    <row r="95" spans="1:1" x14ac:dyDescent="0.45">
      <c r="A95" s="4" t="s">
        <v>786</v>
      </c>
    </row>
    <row r="96" spans="1:1" x14ac:dyDescent="0.45">
      <c r="A96" s="4" t="s">
        <v>787</v>
      </c>
    </row>
    <row r="97" spans="1:1" x14ac:dyDescent="0.45">
      <c r="A97" s="23" t="s">
        <v>788</v>
      </c>
    </row>
    <row r="98" spans="1:1" x14ac:dyDescent="0.45">
      <c r="A98" s="23" t="s">
        <v>789</v>
      </c>
    </row>
    <row r="99" spans="1:1" x14ac:dyDescent="0.45">
      <c r="A99" s="4" t="s">
        <v>790</v>
      </c>
    </row>
    <row r="100" spans="1:1" x14ac:dyDescent="0.45">
      <c r="A100" s="4" t="s">
        <v>791</v>
      </c>
    </row>
    <row r="101" spans="1:1" x14ac:dyDescent="0.45">
      <c r="A101" s="4" t="s">
        <v>792</v>
      </c>
    </row>
    <row r="102" spans="1:1" x14ac:dyDescent="0.45">
      <c r="A102" s="4" t="s">
        <v>793</v>
      </c>
    </row>
    <row r="103" spans="1:1" x14ac:dyDescent="0.45">
      <c r="A103" s="4" t="s">
        <v>794</v>
      </c>
    </row>
    <row r="104" spans="1:1" x14ac:dyDescent="0.45">
      <c r="A104" s="4" t="s">
        <v>795</v>
      </c>
    </row>
    <row r="105" spans="1:1" x14ac:dyDescent="0.45">
      <c r="A105" s="4" t="s">
        <v>796</v>
      </c>
    </row>
    <row r="106" spans="1:1" x14ac:dyDescent="0.45">
      <c r="A106" s="4" t="s">
        <v>797</v>
      </c>
    </row>
    <row r="107" spans="1:1" x14ac:dyDescent="0.45">
      <c r="A107" s="4" t="s">
        <v>798</v>
      </c>
    </row>
    <row r="108" spans="1:1" x14ac:dyDescent="0.45">
      <c r="A108" s="4" t="s">
        <v>799</v>
      </c>
    </row>
    <row r="109" spans="1:1" x14ac:dyDescent="0.45">
      <c r="A109" s="4" t="s">
        <v>800</v>
      </c>
    </row>
    <row r="110" spans="1:1" x14ac:dyDescent="0.45">
      <c r="A110" s="4" t="s">
        <v>801</v>
      </c>
    </row>
    <row r="111" spans="1:1" x14ac:dyDescent="0.45">
      <c r="A111" s="4" t="s">
        <v>802</v>
      </c>
    </row>
    <row r="112" spans="1:1" x14ac:dyDescent="0.45">
      <c r="A112" s="4" t="s">
        <v>803</v>
      </c>
    </row>
    <row r="113" spans="1:1" x14ac:dyDescent="0.45">
      <c r="A113" s="4" t="s">
        <v>804</v>
      </c>
    </row>
    <row r="114" spans="1:1" x14ac:dyDescent="0.45">
      <c r="A114" s="4" t="s">
        <v>805</v>
      </c>
    </row>
    <row r="115" spans="1:1" x14ac:dyDescent="0.45">
      <c r="A115" s="4" t="s">
        <v>806</v>
      </c>
    </row>
    <row r="116" spans="1:1" x14ac:dyDescent="0.45">
      <c r="A116" s="4" t="s">
        <v>807</v>
      </c>
    </row>
    <row r="117" spans="1:1" x14ac:dyDescent="0.45">
      <c r="A117" s="23" t="s">
        <v>808</v>
      </c>
    </row>
    <row r="118" spans="1:1" x14ac:dyDescent="0.45">
      <c r="A118" s="23" t="s">
        <v>809</v>
      </c>
    </row>
    <row r="119" spans="1:1" x14ac:dyDescent="0.45">
      <c r="A119" s="23" t="s">
        <v>810</v>
      </c>
    </row>
    <row r="120" spans="1:1" x14ac:dyDescent="0.45">
      <c r="A120" s="23" t="s">
        <v>811</v>
      </c>
    </row>
    <row r="121" spans="1:1" x14ac:dyDescent="0.45">
      <c r="A121" s="23" t="s">
        <v>812</v>
      </c>
    </row>
    <row r="122" spans="1:1" x14ac:dyDescent="0.45">
      <c r="A122" s="23" t="s">
        <v>813</v>
      </c>
    </row>
    <row r="123" spans="1:1" x14ac:dyDescent="0.45">
      <c r="A123" s="23" t="s">
        <v>814</v>
      </c>
    </row>
    <row r="124" spans="1:1" x14ac:dyDescent="0.45">
      <c r="A124" s="23" t="s">
        <v>815</v>
      </c>
    </row>
    <row r="125" spans="1:1" x14ac:dyDescent="0.45">
      <c r="A125" s="23" t="s">
        <v>816</v>
      </c>
    </row>
    <row r="126" spans="1:1" x14ac:dyDescent="0.45">
      <c r="A126" s="23" t="s">
        <v>817</v>
      </c>
    </row>
    <row r="127" spans="1:1" x14ac:dyDescent="0.45">
      <c r="A127" s="23" t="s">
        <v>818</v>
      </c>
    </row>
    <row r="128" spans="1:1" x14ac:dyDescent="0.45">
      <c r="A128" s="23" t="s">
        <v>819</v>
      </c>
    </row>
    <row r="129" spans="1:1" x14ac:dyDescent="0.45">
      <c r="A129" s="23" t="s">
        <v>820</v>
      </c>
    </row>
    <row r="130" spans="1:1" x14ac:dyDescent="0.45">
      <c r="A130" s="23" t="s">
        <v>821</v>
      </c>
    </row>
    <row r="131" spans="1:1" x14ac:dyDescent="0.45">
      <c r="A131" s="23" t="s">
        <v>822</v>
      </c>
    </row>
    <row r="132" spans="1:1" x14ac:dyDescent="0.45">
      <c r="A132" s="23" t="s">
        <v>823</v>
      </c>
    </row>
    <row r="133" spans="1:1" x14ac:dyDescent="0.45">
      <c r="A133" s="4" t="s">
        <v>824</v>
      </c>
    </row>
    <row r="134" spans="1:1" x14ac:dyDescent="0.45">
      <c r="A134" s="4" t="s">
        <v>825</v>
      </c>
    </row>
    <row r="135" spans="1:1" x14ac:dyDescent="0.45">
      <c r="A135" s="4" t="s">
        <v>826</v>
      </c>
    </row>
    <row r="136" spans="1:1" x14ac:dyDescent="0.45">
      <c r="A136" s="4" t="s">
        <v>827</v>
      </c>
    </row>
    <row r="137" spans="1:1" x14ac:dyDescent="0.45">
      <c r="A137" s="4" t="s">
        <v>828</v>
      </c>
    </row>
    <row r="138" spans="1:1" x14ac:dyDescent="0.45">
      <c r="A138" s="4" t="s">
        <v>829</v>
      </c>
    </row>
    <row r="139" spans="1:1" x14ac:dyDescent="0.45">
      <c r="A139" s="4" t="s">
        <v>830</v>
      </c>
    </row>
    <row r="140" spans="1:1" x14ac:dyDescent="0.45">
      <c r="A140" s="4" t="s">
        <v>831</v>
      </c>
    </row>
    <row r="141" spans="1:1" x14ac:dyDescent="0.45">
      <c r="A141" s="4" t="s">
        <v>832</v>
      </c>
    </row>
    <row r="142" spans="1:1" x14ac:dyDescent="0.45">
      <c r="A142" s="4" t="s">
        <v>833</v>
      </c>
    </row>
    <row r="143" spans="1:1" x14ac:dyDescent="0.45">
      <c r="A143" s="4" t="s">
        <v>834</v>
      </c>
    </row>
    <row r="144" spans="1:1" x14ac:dyDescent="0.45">
      <c r="A144" s="4" t="s">
        <v>835</v>
      </c>
    </row>
    <row r="145" spans="1:1" x14ac:dyDescent="0.45">
      <c r="A145" s="4" t="s">
        <v>836</v>
      </c>
    </row>
    <row r="146" spans="1:1" x14ac:dyDescent="0.45">
      <c r="A146" s="4" t="s">
        <v>837</v>
      </c>
    </row>
    <row r="147" spans="1:1" x14ac:dyDescent="0.45">
      <c r="A147" s="4" t="s">
        <v>838</v>
      </c>
    </row>
    <row r="148" spans="1:1" x14ac:dyDescent="0.45">
      <c r="A148" s="4" t="s">
        <v>839</v>
      </c>
    </row>
    <row r="149" spans="1:1" x14ac:dyDescent="0.45">
      <c r="A149" s="23" t="s">
        <v>840</v>
      </c>
    </row>
    <row r="150" spans="1:1" x14ac:dyDescent="0.45">
      <c r="A150" s="23" t="s">
        <v>841</v>
      </c>
    </row>
    <row r="151" spans="1:1" x14ac:dyDescent="0.45">
      <c r="A151" s="23" t="s">
        <v>842</v>
      </c>
    </row>
    <row r="152" spans="1:1" x14ac:dyDescent="0.45">
      <c r="A152" s="23" t="s">
        <v>843</v>
      </c>
    </row>
    <row r="153" spans="1:1" x14ac:dyDescent="0.45">
      <c r="A153" s="23" t="s">
        <v>844</v>
      </c>
    </row>
    <row r="154" spans="1:1" x14ac:dyDescent="0.45">
      <c r="A154" s="23" t="s">
        <v>845</v>
      </c>
    </row>
    <row r="155" spans="1:1" x14ac:dyDescent="0.45">
      <c r="A155" s="23" t="s">
        <v>846</v>
      </c>
    </row>
    <row r="156" spans="1:1" x14ac:dyDescent="0.45">
      <c r="A156" s="23" t="s">
        <v>847</v>
      </c>
    </row>
    <row r="157" spans="1:1" x14ac:dyDescent="0.45">
      <c r="A157" s="4" t="s">
        <v>848</v>
      </c>
    </row>
    <row r="159" spans="1:1" x14ac:dyDescent="0.45">
      <c r="A159" s="4" t="s">
        <v>849</v>
      </c>
    </row>
    <row r="160" spans="1:1" x14ac:dyDescent="0.45">
      <c r="A160" s="4" t="s">
        <v>850</v>
      </c>
    </row>
    <row r="161" spans="1:20" x14ac:dyDescent="0.45">
      <c r="A161" s="4" t="s">
        <v>38</v>
      </c>
    </row>
    <row r="162" spans="1:20" x14ac:dyDescent="0.45">
      <c r="A162" s="4" t="s">
        <v>273</v>
      </c>
    </row>
    <row r="164" spans="1:20" x14ac:dyDescent="0.45">
      <c r="A164" s="12" t="s">
        <v>588</v>
      </c>
    </row>
    <row r="165" spans="1:20" x14ac:dyDescent="0.45">
      <c r="A165" s="4" t="s">
        <v>401</v>
      </c>
      <c r="E165" s="4" t="s">
        <v>541</v>
      </c>
      <c r="I165" s="4" t="s">
        <v>269</v>
      </c>
      <c r="M165" s="4" t="s">
        <v>280</v>
      </c>
      <c r="T165" s="4" t="s">
        <v>284</v>
      </c>
    </row>
    <row r="166" spans="1:20" x14ac:dyDescent="0.45">
      <c r="A166" s="4" t="s">
        <v>620</v>
      </c>
      <c r="E166" s="4" t="s">
        <v>638</v>
      </c>
      <c r="I166" s="4" t="s">
        <v>652</v>
      </c>
      <c r="M166" s="4" t="s">
        <v>669</v>
      </c>
      <c r="T166" s="4" t="s">
        <v>671</v>
      </c>
    </row>
    <row r="168" spans="1:20" x14ac:dyDescent="0.45">
      <c r="A168" s="4" t="s">
        <v>589</v>
      </c>
      <c r="E168" s="4" t="s">
        <v>622</v>
      </c>
      <c r="I168" s="4" t="s">
        <v>640</v>
      </c>
      <c r="M168" s="4" t="s">
        <v>654</v>
      </c>
      <c r="T168" s="4" t="s">
        <v>672</v>
      </c>
    </row>
    <row r="169" spans="1:20" x14ac:dyDescent="0.45">
      <c r="A169" s="4" t="s">
        <v>590</v>
      </c>
      <c r="E169" s="4" t="s">
        <v>590</v>
      </c>
      <c r="I169" s="4" t="s">
        <v>590</v>
      </c>
      <c r="M169" s="4" t="s">
        <v>590</v>
      </c>
      <c r="T169" s="4" t="s">
        <v>590</v>
      </c>
    </row>
    <row r="170" spans="1:20" x14ac:dyDescent="0.45">
      <c r="A170" s="4" t="s">
        <v>591</v>
      </c>
      <c r="E170" s="4" t="s">
        <v>591</v>
      </c>
      <c r="I170" s="4" t="s">
        <v>591</v>
      </c>
      <c r="M170" s="4" t="s">
        <v>591</v>
      </c>
      <c r="T170" s="4" t="s">
        <v>591</v>
      </c>
    </row>
    <row r="171" spans="1:20" x14ac:dyDescent="0.45">
      <c r="A171" s="4" t="s">
        <v>592</v>
      </c>
      <c r="E171" s="4" t="s">
        <v>623</v>
      </c>
      <c r="I171" s="4" t="s">
        <v>641</v>
      </c>
      <c r="M171" s="4" t="s">
        <v>655</v>
      </c>
      <c r="T171" s="4" t="s">
        <v>673</v>
      </c>
    </row>
    <row r="172" spans="1:20" x14ac:dyDescent="0.45">
      <c r="A172" s="4" t="s">
        <v>593</v>
      </c>
      <c r="E172" s="4" t="s">
        <v>593</v>
      </c>
      <c r="I172" s="4" t="s">
        <v>593</v>
      </c>
      <c r="M172" s="4" t="s">
        <v>593</v>
      </c>
      <c r="T172" s="4" t="s">
        <v>593</v>
      </c>
    </row>
    <row r="174" spans="1:20" x14ac:dyDescent="0.45">
      <c r="A174" s="4" t="s">
        <v>594</v>
      </c>
      <c r="E174" s="4" t="s">
        <v>594</v>
      </c>
      <c r="I174" s="4" t="s">
        <v>594</v>
      </c>
      <c r="M174" s="4" t="s">
        <v>594</v>
      </c>
      <c r="T174" s="4" t="s">
        <v>594</v>
      </c>
    </row>
    <row r="175" spans="1:20" x14ac:dyDescent="0.45">
      <c r="A175" s="4" t="s">
        <v>595</v>
      </c>
      <c r="E175" s="4" t="s">
        <v>595</v>
      </c>
      <c r="I175" s="4" t="s">
        <v>595</v>
      </c>
      <c r="M175" s="4" t="s">
        <v>595</v>
      </c>
      <c r="T175" s="4" t="s">
        <v>595</v>
      </c>
    </row>
    <row r="176" spans="1:20" x14ac:dyDescent="0.45">
      <c r="A176" s="4" t="s">
        <v>596</v>
      </c>
      <c r="E176" s="4" t="s">
        <v>624</v>
      </c>
      <c r="I176" s="4" t="s">
        <v>642</v>
      </c>
      <c r="M176" s="4" t="s">
        <v>656</v>
      </c>
      <c r="T176" s="4" t="s">
        <v>674</v>
      </c>
    </row>
    <row r="177" spans="1:20" x14ac:dyDescent="0.45">
      <c r="A177" s="4" t="s">
        <v>597</v>
      </c>
      <c r="E177" s="4" t="s">
        <v>597</v>
      </c>
      <c r="I177" s="4" t="s">
        <v>597</v>
      </c>
      <c r="M177" s="4" t="s">
        <v>597</v>
      </c>
      <c r="T177" s="4" t="s">
        <v>597</v>
      </c>
    </row>
    <row r="178" spans="1:20" x14ac:dyDescent="0.45">
      <c r="A178" s="4" t="s">
        <v>598</v>
      </c>
      <c r="E178" s="4" t="s">
        <v>625</v>
      </c>
      <c r="I178" s="4" t="s">
        <v>643</v>
      </c>
      <c r="M178" s="4" t="s">
        <v>657</v>
      </c>
      <c r="T178" s="4" t="s">
        <v>675</v>
      </c>
    </row>
    <row r="180" spans="1:20" x14ac:dyDescent="0.45">
      <c r="A180" s="4" t="s">
        <v>599</v>
      </c>
      <c r="E180" s="4" t="s">
        <v>599</v>
      </c>
      <c r="I180" s="4" t="s">
        <v>599</v>
      </c>
      <c r="M180" s="4" t="s">
        <v>599</v>
      </c>
      <c r="T180" s="4" t="s">
        <v>599</v>
      </c>
    </row>
    <row r="181" spans="1:20" x14ac:dyDescent="0.45">
      <c r="A181" s="4" t="s">
        <v>600</v>
      </c>
      <c r="E181" s="4" t="s">
        <v>626</v>
      </c>
      <c r="I181" s="4" t="s">
        <v>644</v>
      </c>
      <c r="M181" s="4" t="s">
        <v>658</v>
      </c>
      <c r="T181" s="4" t="s">
        <v>676</v>
      </c>
    </row>
    <row r="183" spans="1:20" x14ac:dyDescent="0.45">
      <c r="A183" s="4" t="s">
        <v>601</v>
      </c>
      <c r="E183" s="4" t="s">
        <v>627</v>
      </c>
      <c r="I183" s="4" t="s">
        <v>610</v>
      </c>
      <c r="M183" s="4" t="s">
        <v>659</v>
      </c>
      <c r="T183" s="4" t="s">
        <v>610</v>
      </c>
    </row>
    <row r="184" spans="1:20" x14ac:dyDescent="0.45">
      <c r="A184" s="4" t="s">
        <v>602</v>
      </c>
      <c r="E184" s="4" t="s">
        <v>602</v>
      </c>
      <c r="I184" s="4" t="s">
        <v>602</v>
      </c>
      <c r="M184" s="4" t="s">
        <v>602</v>
      </c>
      <c r="T184" s="4" t="s">
        <v>602</v>
      </c>
    </row>
    <row r="185" spans="1:20" x14ac:dyDescent="0.45">
      <c r="A185" s="4" t="s">
        <v>603</v>
      </c>
      <c r="E185" s="4" t="s">
        <v>628</v>
      </c>
      <c r="I185" s="4" t="s">
        <v>645</v>
      </c>
      <c r="M185" s="4" t="s">
        <v>660</v>
      </c>
      <c r="T185" s="4" t="s">
        <v>677</v>
      </c>
    </row>
    <row r="186" spans="1:20" x14ac:dyDescent="0.45">
      <c r="A186" s="4" t="s">
        <v>604</v>
      </c>
      <c r="E186" s="4" t="s">
        <v>629</v>
      </c>
      <c r="I186" s="4" t="s">
        <v>629</v>
      </c>
      <c r="M186" s="4" t="s">
        <v>661</v>
      </c>
      <c r="T186" s="4" t="s">
        <v>604</v>
      </c>
    </row>
    <row r="188" spans="1:20" x14ac:dyDescent="0.45">
      <c r="A188" s="4" t="s">
        <v>540</v>
      </c>
      <c r="E188" s="4" t="s">
        <v>296</v>
      </c>
      <c r="I188" s="4" t="s">
        <v>265</v>
      </c>
      <c r="M188" s="4" t="s">
        <v>278</v>
      </c>
      <c r="T188" s="4" t="s">
        <v>281</v>
      </c>
    </row>
    <row r="189" spans="1:20" x14ac:dyDescent="0.45">
      <c r="A189" s="4" t="s">
        <v>540</v>
      </c>
      <c r="E189" s="4" t="s">
        <v>543</v>
      </c>
      <c r="I189" s="4" t="s">
        <v>265</v>
      </c>
      <c r="M189" s="4" t="s">
        <v>278</v>
      </c>
      <c r="T189" s="4" t="s">
        <v>281</v>
      </c>
    </row>
    <row r="190" spans="1:20" x14ac:dyDescent="0.45">
      <c r="A190" s="4" t="s">
        <v>621</v>
      </c>
      <c r="E190" s="4" t="s">
        <v>639</v>
      </c>
      <c r="I190" s="4" t="s">
        <v>653</v>
      </c>
      <c r="M190" s="4" t="s">
        <v>670</v>
      </c>
      <c r="T190" s="4" t="s">
        <v>684</v>
      </c>
    </row>
    <row r="192" spans="1:20" x14ac:dyDescent="0.45">
      <c r="A192" s="4" t="s">
        <v>605</v>
      </c>
      <c r="E192" s="4" t="s">
        <v>630</v>
      </c>
      <c r="I192" s="4" t="s">
        <v>646</v>
      </c>
      <c r="M192" s="4" t="s">
        <v>662</v>
      </c>
      <c r="T192" s="4" t="s">
        <v>683</v>
      </c>
    </row>
    <row r="193" spans="1:20" x14ac:dyDescent="0.45">
      <c r="A193" s="4" t="s">
        <v>590</v>
      </c>
      <c r="E193" s="4" t="s">
        <v>590</v>
      </c>
      <c r="I193" s="4" t="s">
        <v>590</v>
      </c>
      <c r="M193" s="4" t="s">
        <v>590</v>
      </c>
      <c r="T193" s="4" t="s">
        <v>590</v>
      </c>
    </row>
    <row r="194" spans="1:20" x14ac:dyDescent="0.45">
      <c r="A194" s="4" t="s">
        <v>591</v>
      </c>
      <c r="E194" s="4" t="s">
        <v>591</v>
      </c>
      <c r="I194" s="4" t="s">
        <v>591</v>
      </c>
      <c r="M194" s="4" t="s">
        <v>591</v>
      </c>
      <c r="T194" s="4" t="s">
        <v>591</v>
      </c>
    </row>
    <row r="195" spans="1:20" x14ac:dyDescent="0.45">
      <c r="A195" s="4" t="s">
        <v>606</v>
      </c>
      <c r="E195" s="4" t="s">
        <v>631</v>
      </c>
      <c r="I195" s="4" t="s">
        <v>647</v>
      </c>
      <c r="M195" s="4" t="s">
        <v>663</v>
      </c>
      <c r="T195" s="4" t="s">
        <v>678</v>
      </c>
    </row>
    <row r="196" spans="1:20" x14ac:dyDescent="0.45">
      <c r="A196" s="4" t="s">
        <v>593</v>
      </c>
      <c r="E196" s="4" t="s">
        <v>593</v>
      </c>
      <c r="I196" s="4" t="s">
        <v>593</v>
      </c>
      <c r="M196" s="4" t="s">
        <v>593</v>
      </c>
      <c r="T196" s="4" t="s">
        <v>593</v>
      </c>
    </row>
    <row r="198" spans="1:20" x14ac:dyDescent="0.45">
      <c r="A198" s="4" t="s">
        <v>594</v>
      </c>
      <c r="E198" s="4" t="s">
        <v>594</v>
      </c>
      <c r="I198" s="4" t="s">
        <v>594</v>
      </c>
      <c r="M198" s="4" t="s">
        <v>594</v>
      </c>
      <c r="T198" s="4" t="s">
        <v>594</v>
      </c>
    </row>
    <row r="199" spans="1:20" x14ac:dyDescent="0.45">
      <c r="A199" s="4" t="s">
        <v>595</v>
      </c>
      <c r="E199" s="4" t="s">
        <v>595</v>
      </c>
      <c r="I199" s="4" t="s">
        <v>595</v>
      </c>
      <c r="M199" s="4" t="s">
        <v>595</v>
      </c>
      <c r="T199" s="4" t="s">
        <v>595</v>
      </c>
    </row>
    <row r="200" spans="1:20" x14ac:dyDescent="0.45">
      <c r="A200" s="4" t="s">
        <v>607</v>
      </c>
      <c r="E200" s="4" t="s">
        <v>632</v>
      </c>
      <c r="I200" s="4" t="s">
        <v>648</v>
      </c>
      <c r="M200" s="4" t="s">
        <v>664</v>
      </c>
      <c r="T200" s="4" t="s">
        <v>679</v>
      </c>
    </row>
    <row r="201" spans="1:20" x14ac:dyDescent="0.45">
      <c r="A201" s="4" t="s">
        <v>597</v>
      </c>
      <c r="E201" s="4" t="s">
        <v>597</v>
      </c>
      <c r="I201" s="4" t="s">
        <v>597</v>
      </c>
      <c r="M201" s="4" t="s">
        <v>597</v>
      </c>
      <c r="T201" s="4" t="s">
        <v>597</v>
      </c>
    </row>
    <row r="202" spans="1:20" x14ac:dyDescent="0.45">
      <c r="A202" s="4" t="s">
        <v>608</v>
      </c>
      <c r="E202" s="4" t="s">
        <v>633</v>
      </c>
      <c r="I202" s="4" t="s">
        <v>649</v>
      </c>
      <c r="M202" s="4" t="s">
        <v>665</v>
      </c>
      <c r="T202" s="4" t="s">
        <v>680</v>
      </c>
    </row>
    <row r="204" spans="1:20" x14ac:dyDescent="0.45">
      <c r="A204" s="4" t="s">
        <v>599</v>
      </c>
      <c r="E204" s="4" t="s">
        <v>599</v>
      </c>
      <c r="I204" s="4" t="s">
        <v>599</v>
      </c>
      <c r="M204" s="4" t="s">
        <v>599</v>
      </c>
      <c r="T204" s="4" t="s">
        <v>599</v>
      </c>
    </row>
    <row r="205" spans="1:20" x14ac:dyDescent="0.45">
      <c r="A205" s="4" t="s">
        <v>609</v>
      </c>
      <c r="E205" s="4" t="s">
        <v>634</v>
      </c>
      <c r="I205" s="4" t="s">
        <v>650</v>
      </c>
      <c r="M205" s="4" t="s">
        <v>666</v>
      </c>
      <c r="T205" s="4" t="s">
        <v>681</v>
      </c>
    </row>
    <row r="207" spans="1:20" x14ac:dyDescent="0.45">
      <c r="A207" s="4" t="s">
        <v>610</v>
      </c>
      <c r="E207" s="4" t="s">
        <v>635</v>
      </c>
      <c r="I207" s="4" t="s">
        <v>610</v>
      </c>
      <c r="M207" s="4" t="s">
        <v>635</v>
      </c>
      <c r="T207" s="4" t="s">
        <v>635</v>
      </c>
    </row>
    <row r="208" spans="1:20" x14ac:dyDescent="0.45">
      <c r="A208" s="4" t="s">
        <v>602</v>
      </c>
      <c r="E208" s="4" t="s">
        <v>602</v>
      </c>
      <c r="I208" s="4" t="s">
        <v>602</v>
      </c>
      <c r="M208" s="4" t="s">
        <v>602</v>
      </c>
      <c r="T208" s="4" t="s">
        <v>602</v>
      </c>
    </row>
    <row r="209" spans="1:20" x14ac:dyDescent="0.45">
      <c r="A209" s="4" t="s">
        <v>611</v>
      </c>
      <c r="E209" s="4" t="s">
        <v>636</v>
      </c>
      <c r="I209" s="4" t="s">
        <v>651</v>
      </c>
      <c r="M209" s="4" t="s">
        <v>667</v>
      </c>
      <c r="T209" s="4" t="s">
        <v>682</v>
      </c>
    </row>
    <row r="210" spans="1:20" x14ac:dyDescent="0.45">
      <c r="A210" s="4" t="s">
        <v>612</v>
      </c>
      <c r="E210" s="4" t="s">
        <v>637</v>
      </c>
      <c r="I210" s="4" t="s">
        <v>637</v>
      </c>
      <c r="M210" s="4" t="s">
        <v>668</v>
      </c>
      <c r="T210" s="4" t="s">
        <v>612</v>
      </c>
    </row>
    <row r="213" spans="1:20" x14ac:dyDescent="0.45">
      <c r="A213" s="4" t="s">
        <v>550</v>
      </c>
      <c r="E213" s="4" t="s">
        <v>554</v>
      </c>
      <c r="I213" s="4" t="s">
        <v>558</v>
      </c>
      <c r="M213" s="4" t="s">
        <v>562</v>
      </c>
    </row>
    <row r="214" spans="1:20" x14ac:dyDescent="0.45">
      <c r="A214" s="4" t="s">
        <v>701</v>
      </c>
      <c r="E214" s="4" t="s">
        <v>716</v>
      </c>
      <c r="I214" s="4" t="s">
        <v>730</v>
      </c>
      <c r="M214" s="4" t="s">
        <v>731</v>
      </c>
    </row>
    <row r="216" spans="1:20" x14ac:dyDescent="0.45">
      <c r="A216" s="4" t="s">
        <v>685</v>
      </c>
      <c r="E216" s="4" t="s">
        <v>702</v>
      </c>
      <c r="I216" s="4" t="s">
        <v>717</v>
      </c>
      <c r="M216" s="4" t="s">
        <v>732</v>
      </c>
    </row>
    <row r="217" spans="1:20" x14ac:dyDescent="0.45">
      <c r="A217" s="4" t="s">
        <v>590</v>
      </c>
      <c r="E217" s="4" t="s">
        <v>590</v>
      </c>
      <c r="I217" s="4" t="s">
        <v>590</v>
      </c>
      <c r="M217" s="4" t="s">
        <v>590</v>
      </c>
    </row>
    <row r="218" spans="1:20" x14ac:dyDescent="0.45">
      <c r="A218" s="4" t="s">
        <v>591</v>
      </c>
      <c r="E218" s="4" t="s">
        <v>591</v>
      </c>
      <c r="I218" s="4" t="s">
        <v>591</v>
      </c>
      <c r="M218" s="4" t="s">
        <v>591</v>
      </c>
    </row>
    <row r="219" spans="1:20" x14ac:dyDescent="0.45">
      <c r="A219" s="4" t="s">
        <v>686</v>
      </c>
      <c r="E219" s="4" t="s">
        <v>703</v>
      </c>
      <c r="I219" s="4" t="s">
        <v>718</v>
      </c>
      <c r="M219" s="4" t="s">
        <v>733</v>
      </c>
    </row>
    <row r="220" spans="1:20" x14ac:dyDescent="0.45">
      <c r="A220" s="4" t="s">
        <v>593</v>
      </c>
      <c r="E220" s="4" t="s">
        <v>593</v>
      </c>
      <c r="I220" s="4" t="s">
        <v>593</v>
      </c>
      <c r="M220" s="4" t="s">
        <v>593</v>
      </c>
    </row>
    <row r="222" spans="1:20" x14ac:dyDescent="0.45">
      <c r="A222" s="4" t="s">
        <v>594</v>
      </c>
      <c r="E222" s="4" t="s">
        <v>594</v>
      </c>
      <c r="I222" s="4" t="s">
        <v>594</v>
      </c>
      <c r="M222" s="4" t="s">
        <v>594</v>
      </c>
    </row>
    <row r="223" spans="1:20" x14ac:dyDescent="0.45">
      <c r="A223" s="4" t="s">
        <v>595</v>
      </c>
      <c r="E223" s="4" t="s">
        <v>595</v>
      </c>
      <c r="I223" s="4" t="s">
        <v>595</v>
      </c>
      <c r="M223" s="4" t="s">
        <v>595</v>
      </c>
    </row>
    <row r="224" spans="1:20" x14ac:dyDescent="0.45">
      <c r="A224" s="4" t="s">
        <v>687</v>
      </c>
      <c r="E224" s="4" t="s">
        <v>704</v>
      </c>
      <c r="I224" s="4" t="s">
        <v>719</v>
      </c>
      <c r="M224" s="4" t="s">
        <v>734</v>
      </c>
    </row>
    <row r="225" spans="1:13" x14ac:dyDescent="0.45">
      <c r="A225" s="4" t="s">
        <v>597</v>
      </c>
      <c r="E225" s="4" t="s">
        <v>597</v>
      </c>
      <c r="I225" s="4" t="s">
        <v>597</v>
      </c>
      <c r="M225" s="4" t="s">
        <v>597</v>
      </c>
    </row>
    <row r="226" spans="1:13" x14ac:dyDescent="0.45">
      <c r="A226" s="4" t="s">
        <v>688</v>
      </c>
      <c r="E226" s="4" t="s">
        <v>705</v>
      </c>
      <c r="I226" s="4" t="s">
        <v>720</v>
      </c>
      <c r="M226" s="4" t="s">
        <v>735</v>
      </c>
    </row>
    <row r="228" spans="1:13" x14ac:dyDescent="0.45">
      <c r="A228" s="4" t="s">
        <v>599</v>
      </c>
      <c r="E228" s="4" t="s">
        <v>599</v>
      </c>
      <c r="I228" s="4" t="s">
        <v>599</v>
      </c>
      <c r="M228" s="4" t="s">
        <v>599</v>
      </c>
    </row>
    <row r="229" spans="1:13" x14ac:dyDescent="0.45">
      <c r="A229" s="4" t="s">
        <v>689</v>
      </c>
      <c r="E229" s="4" t="s">
        <v>706</v>
      </c>
      <c r="I229" s="4" t="s">
        <v>721</v>
      </c>
      <c r="M229" s="4" t="s">
        <v>736</v>
      </c>
    </row>
    <row r="231" spans="1:13" x14ac:dyDescent="0.45">
      <c r="A231" s="4" t="s">
        <v>659</v>
      </c>
      <c r="E231" s="4" t="s">
        <v>659</v>
      </c>
      <c r="I231" s="4" t="s">
        <v>610</v>
      </c>
      <c r="M231" s="4" t="s">
        <v>610</v>
      </c>
    </row>
    <row r="232" spans="1:13" x14ac:dyDescent="0.45">
      <c r="A232" s="4" t="s">
        <v>602</v>
      </c>
      <c r="E232" s="4" t="s">
        <v>602</v>
      </c>
      <c r="I232" s="4" t="s">
        <v>602</v>
      </c>
      <c r="M232" s="4" t="s">
        <v>602</v>
      </c>
    </row>
    <row r="233" spans="1:13" x14ac:dyDescent="0.45">
      <c r="A233" s="4" t="s">
        <v>690</v>
      </c>
      <c r="E233" s="4" t="s">
        <v>707</v>
      </c>
      <c r="I233" s="4" t="s">
        <v>722</v>
      </c>
      <c r="M233" s="4" t="s">
        <v>737</v>
      </c>
    </row>
    <row r="234" spans="1:13" x14ac:dyDescent="0.45">
      <c r="A234" s="4" t="s">
        <v>691</v>
      </c>
      <c r="E234" s="4" t="s">
        <v>661</v>
      </c>
      <c r="I234" s="4" t="s">
        <v>691</v>
      </c>
      <c r="M234" s="4" t="s">
        <v>691</v>
      </c>
    </row>
    <row r="236" spans="1:13" x14ac:dyDescent="0.45">
      <c r="A236" s="4" t="s">
        <v>552</v>
      </c>
      <c r="E236" s="4" t="s">
        <v>556</v>
      </c>
      <c r="I236" s="4" t="s">
        <v>560</v>
      </c>
      <c r="M236" s="4" t="s">
        <v>564</v>
      </c>
    </row>
    <row r="237" spans="1:13" x14ac:dyDescent="0.45">
      <c r="A237" s="4" t="s">
        <v>552</v>
      </c>
      <c r="E237" s="4" t="s">
        <v>556</v>
      </c>
      <c r="I237" s="4" t="s">
        <v>560</v>
      </c>
      <c r="M237" s="4" t="s">
        <v>564</v>
      </c>
    </row>
    <row r="238" spans="1:13" x14ac:dyDescent="0.45">
      <c r="A238" s="4" t="s">
        <v>692</v>
      </c>
      <c r="E238" s="4" t="s">
        <v>708</v>
      </c>
      <c r="I238" s="4" t="s">
        <v>723</v>
      </c>
      <c r="M238" s="4" t="s">
        <v>738</v>
      </c>
    </row>
    <row r="240" spans="1:13" x14ac:dyDescent="0.45">
      <c r="A240" s="4" t="s">
        <v>693</v>
      </c>
      <c r="E240" s="4" t="s">
        <v>709</v>
      </c>
      <c r="I240" s="4" t="s">
        <v>724</v>
      </c>
      <c r="M240" s="4" t="s">
        <v>739</v>
      </c>
    </row>
    <row r="241" spans="1:13" x14ac:dyDescent="0.45">
      <c r="A241" s="4" t="s">
        <v>590</v>
      </c>
      <c r="E241" s="4" t="s">
        <v>590</v>
      </c>
      <c r="I241" s="4" t="s">
        <v>590</v>
      </c>
      <c r="M241" s="4" t="s">
        <v>590</v>
      </c>
    </row>
    <row r="242" spans="1:13" x14ac:dyDescent="0.45">
      <c r="A242" s="4" t="s">
        <v>591</v>
      </c>
      <c r="E242" s="4" t="s">
        <v>591</v>
      </c>
      <c r="I242" s="4" t="s">
        <v>591</v>
      </c>
      <c r="M242" s="4" t="s">
        <v>591</v>
      </c>
    </row>
    <row r="243" spans="1:13" x14ac:dyDescent="0.45">
      <c r="A243" s="4" t="s">
        <v>694</v>
      </c>
      <c r="E243" s="4" t="s">
        <v>710</v>
      </c>
      <c r="I243" s="4" t="s">
        <v>725</v>
      </c>
      <c r="M243" s="4" t="s">
        <v>740</v>
      </c>
    </row>
    <row r="244" spans="1:13" x14ac:dyDescent="0.45">
      <c r="A244" s="4" t="s">
        <v>593</v>
      </c>
      <c r="E244" s="4" t="s">
        <v>593</v>
      </c>
      <c r="I244" s="4" t="s">
        <v>593</v>
      </c>
      <c r="M244" s="4" t="s">
        <v>593</v>
      </c>
    </row>
    <row r="246" spans="1:13" x14ac:dyDescent="0.45">
      <c r="A246" s="4" t="s">
        <v>594</v>
      </c>
      <c r="E246" s="4" t="s">
        <v>594</v>
      </c>
      <c r="I246" s="4" t="s">
        <v>594</v>
      </c>
      <c r="M246" s="4" t="s">
        <v>594</v>
      </c>
    </row>
    <row r="247" spans="1:13" x14ac:dyDescent="0.45">
      <c r="A247" s="4" t="s">
        <v>595</v>
      </c>
      <c r="E247" s="4" t="s">
        <v>595</v>
      </c>
      <c r="I247" s="4" t="s">
        <v>595</v>
      </c>
      <c r="M247" s="4" t="s">
        <v>595</v>
      </c>
    </row>
    <row r="248" spans="1:13" x14ac:dyDescent="0.45">
      <c r="A248" s="4" t="s">
        <v>695</v>
      </c>
      <c r="E248" s="4" t="s">
        <v>711</v>
      </c>
      <c r="I248" s="4" t="s">
        <v>726</v>
      </c>
      <c r="M248" s="4" t="s">
        <v>741</v>
      </c>
    </row>
    <row r="249" spans="1:13" x14ac:dyDescent="0.45">
      <c r="A249" s="4" t="s">
        <v>597</v>
      </c>
      <c r="E249" s="4" t="s">
        <v>597</v>
      </c>
      <c r="I249" s="4" t="s">
        <v>597</v>
      </c>
      <c r="M249" s="4" t="s">
        <v>597</v>
      </c>
    </row>
    <row r="250" spans="1:13" x14ac:dyDescent="0.45">
      <c r="A250" s="4" t="s">
        <v>696</v>
      </c>
      <c r="E250" s="4" t="s">
        <v>712</v>
      </c>
      <c r="I250" s="4" t="s">
        <v>727</v>
      </c>
      <c r="M250" s="4" t="s">
        <v>742</v>
      </c>
    </row>
    <row r="252" spans="1:13" x14ac:dyDescent="0.45">
      <c r="A252" s="4" t="s">
        <v>599</v>
      </c>
      <c r="E252" s="4" t="s">
        <v>599</v>
      </c>
      <c r="I252" s="4" t="s">
        <v>599</v>
      </c>
      <c r="M252" s="4" t="s">
        <v>599</v>
      </c>
    </row>
    <row r="253" spans="1:13" x14ac:dyDescent="0.45">
      <c r="A253" s="4" t="s">
        <v>697</v>
      </c>
      <c r="E253" s="4" t="s">
        <v>713</v>
      </c>
      <c r="I253" s="4" t="s">
        <v>728</v>
      </c>
      <c r="M253" s="4" t="s">
        <v>743</v>
      </c>
    </row>
    <row r="255" spans="1:13" x14ac:dyDescent="0.45">
      <c r="A255" s="4" t="s">
        <v>698</v>
      </c>
      <c r="E255" s="4" t="s">
        <v>659</v>
      </c>
      <c r="I255" s="4" t="s">
        <v>610</v>
      </c>
      <c r="M255" s="4" t="s">
        <v>744</v>
      </c>
    </row>
    <row r="256" spans="1:13" x14ac:dyDescent="0.45">
      <c r="A256" s="4" t="s">
        <v>602</v>
      </c>
      <c r="E256" s="4" t="s">
        <v>602</v>
      </c>
      <c r="I256" s="4" t="s">
        <v>602</v>
      </c>
      <c r="M256" s="4" t="s">
        <v>602</v>
      </c>
    </row>
    <row r="257" spans="1:13" x14ac:dyDescent="0.45">
      <c r="A257" s="4" t="s">
        <v>699</v>
      </c>
      <c r="E257" s="4" t="s">
        <v>714</v>
      </c>
      <c r="I257" s="4" t="s">
        <v>729</v>
      </c>
      <c r="M257" s="4" t="s">
        <v>745</v>
      </c>
    </row>
    <row r="258" spans="1:13" x14ac:dyDescent="0.45">
      <c r="A258" s="4" t="s">
        <v>700</v>
      </c>
      <c r="E258" s="4" t="s">
        <v>715</v>
      </c>
      <c r="I258" s="4" t="s">
        <v>715</v>
      </c>
      <c r="M258" s="4" t="s">
        <v>700</v>
      </c>
    </row>
  </sheetData>
  <phoneticPr fontId="1"/>
  <conditionalFormatting sqref="A5:N41">
    <cfRule type="expression" dxfId="8" priority="1">
      <formula>$B5="返り"</formula>
    </cfRule>
    <cfRule type="expression" priority="2">
      <formula>$B5="行き"</formula>
    </cfRule>
  </conditionalFormatting>
  <hyperlinks>
    <hyperlink ref="A1" location="通信要件一覧!A1" display="※「通信要件一覧」シートに戻る" xr:uid="{2771A00D-15AF-45AD-A7C7-72098E9AB84E}"/>
  </hyperlinks>
  <pageMargins left="0.7" right="0.7" top="0.75" bottom="0.75" header="0.3" footer="0.3"/>
  <pageSetup paperSize="9" scale="1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520F-7839-4DF7-8AB4-9F4B4CB052D6}">
  <dimension ref="A1:N258"/>
  <sheetViews>
    <sheetView view="pageBreakPreview" zoomScale="70" zoomScaleNormal="100" zoomScaleSheetLayoutView="70" workbookViewId="0"/>
  </sheetViews>
  <sheetFormatPr defaultRowHeight="15.75" x14ac:dyDescent="0.45"/>
  <cols>
    <col min="1" max="1" width="20.44140625" style="4" customWidth="1"/>
    <col min="2" max="2" width="11.21875" style="4" bestFit="1" customWidth="1"/>
    <col min="3" max="3" width="20.33203125" style="4" customWidth="1"/>
    <col min="4" max="4" width="16" style="4" bestFit="1" customWidth="1"/>
    <col min="5" max="5" width="14.21875" style="4" customWidth="1"/>
    <col min="6" max="6" width="18.33203125" style="4" bestFit="1" customWidth="1"/>
    <col min="7" max="8" width="18.33203125" style="4" customWidth="1"/>
    <col min="9" max="9" width="15.44140625" style="4" bestFit="1" customWidth="1"/>
    <col min="10" max="10" width="15.109375" style="4" customWidth="1"/>
    <col min="11" max="11" width="15.33203125" style="4" bestFit="1" customWidth="1"/>
    <col min="12" max="12" width="12.33203125" style="4" bestFit="1" customWidth="1"/>
    <col min="13" max="13" width="62.5546875" style="4" customWidth="1"/>
    <col min="14" max="14" width="10.88671875" style="4" bestFit="1" customWidth="1"/>
    <col min="15" max="16384" width="8.88671875" style="4"/>
  </cols>
  <sheetData>
    <row r="1" spans="1:14" x14ac:dyDescent="0.45">
      <c r="A1" s="9" t="s">
        <v>56</v>
      </c>
    </row>
    <row r="2" spans="1:14" x14ac:dyDescent="0.45">
      <c r="A2" s="12" t="s">
        <v>928</v>
      </c>
    </row>
    <row r="3" spans="1:14" x14ac:dyDescent="0.45">
      <c r="A3" s="12" t="s">
        <v>876</v>
      </c>
    </row>
    <row r="4" spans="1:14" x14ac:dyDescent="0.45">
      <c r="A4" s="12" t="s">
        <v>399</v>
      </c>
    </row>
    <row r="5" spans="1:14" x14ac:dyDescent="0.45">
      <c r="A5" s="72" t="s">
        <v>297</v>
      </c>
      <c r="B5" s="72" t="s">
        <v>92</v>
      </c>
      <c r="C5" s="72" t="s">
        <v>91</v>
      </c>
      <c r="D5" s="72" t="s">
        <v>30</v>
      </c>
      <c r="E5" s="72" t="s">
        <v>31</v>
      </c>
      <c r="F5" s="72" t="s">
        <v>122</v>
      </c>
      <c r="G5" s="72" t="s">
        <v>33</v>
      </c>
      <c r="H5" s="72" t="s">
        <v>123</v>
      </c>
      <c r="I5" s="72" t="s">
        <v>157</v>
      </c>
      <c r="J5" s="72" t="s">
        <v>158</v>
      </c>
      <c r="K5" s="72" t="s">
        <v>159</v>
      </c>
      <c r="L5" s="72" t="s">
        <v>160</v>
      </c>
      <c r="M5" s="72" t="s">
        <v>161</v>
      </c>
      <c r="N5" s="72" t="s">
        <v>34</v>
      </c>
    </row>
    <row r="6" spans="1:14" x14ac:dyDescent="0.45">
      <c r="A6" s="6" t="str">
        <f>IF(B6="行き","lb-test⇒web-test",IF(B6="返り","web-test⇒lb-test",""))</f>
        <v>lb-test⇒web-test</v>
      </c>
      <c r="B6" s="6" t="str">
        <f>IF(F6="192.168.110.8.443","返り","行き")</f>
        <v>行き</v>
      </c>
      <c r="C6" s="6" t="s">
        <v>908</v>
      </c>
      <c r="D6" s="6" t="str" cm="1">
        <f t="array" ref="D6">TRIM(INDEX(_xlfn.TEXTSPLIT(C6, " "), 1))</f>
        <v>09:57:10.985217</v>
      </c>
      <c r="E6" s="6" t="str" cm="1">
        <f t="array" ref="E6">TRIM(INDEX(_xlfn.TEXTSPLIT(C6, " "), 2))</f>
        <v>IP</v>
      </c>
      <c r="F6" s="6" t="str" cm="1">
        <f t="array" ref="F6">TRIM(INDEX(_xlfn.TEXTSPLIT(C6, " "), 3))</f>
        <v>192.168.100.28.56328</v>
      </c>
      <c r="G6" s="6" t="str" cm="1">
        <f t="array" ref="G6">TRIM(INDEX(_xlfn.TEXTSPLIT(C6, " "), 4))</f>
        <v>&gt;</v>
      </c>
      <c r="H6" s="6" t="str" cm="1">
        <f t="array" ref="H6">_xlfn.LET(
    _xlpm.v, TRIM(INDEX(_xlfn.TEXTSPLIT(C6, " "), 5)),
    IF(RIGHT(_xlpm.v,1)=":", LEFT(_xlpm.v, LEN(_xlpm.v)-1), _xlpm.v)
)</f>
        <v>192.168.110.8.443</v>
      </c>
      <c r="I6" s="6" t="str">
        <f>"Flags [" &amp; _xlfn.TEXTBEFORE(_xlfn.TEXTAFTER(C6,"Flags ["),"]") &amp; "]"</f>
        <v>Flags [S]</v>
      </c>
      <c r="J6" s="6" t="str">
        <f t="shared" ref="J6:J12" si="0">IFERROR("seq " &amp; _xlfn.TEXTBEFORE(_xlfn.TEXTAFTER(C6,"seq "),","), "-")</f>
        <v>seq 2833611589</v>
      </c>
      <c r="K6" s="6" t="str">
        <f t="shared" ref="K6:K17" si="1">IFERROR("ack " &amp; _xlfn.TEXTBEFORE(_xlfn.TEXTAFTER(C6,"ack "),","), "-")</f>
        <v>-</v>
      </c>
      <c r="L6" s="6" t="str">
        <f>IFERROR("win " &amp; _xlfn.TEXTBEFORE(_xlfn.TEXTAFTER(C6,"win "),","), "-")</f>
        <v>win 64240</v>
      </c>
      <c r="M6" s="6" t="str">
        <f>IFERROR("options [" &amp; _xlfn.TEXTBEFORE(_xlfn.TEXTAFTER(C6,"options ["),"]") &amp; "]","-")</f>
        <v>options [mss 1460,sackOK,TS val 1511677727 ecr 0,nop,wscale 7]</v>
      </c>
      <c r="N6" s="6" t="str">
        <f>TRIM(MID(C6, FIND("length ", C6), LEN(C6) - FIND("length ", C6) + 1))</f>
        <v>length 0</v>
      </c>
    </row>
    <row r="7" spans="1:14" x14ac:dyDescent="0.45">
      <c r="A7" s="6" t="str">
        <f t="shared" ref="A7:A25" si="2">IF(B7="行き","lb-test⇒web-test",IF(B7="返り","web-test⇒lb-test",""))</f>
        <v>web-test⇒lb-test</v>
      </c>
      <c r="B7" s="6" t="str">
        <f t="shared" ref="B7:B25" si="3">IF(F7="192.168.110.8.443","返り","行き")</f>
        <v>返り</v>
      </c>
      <c r="C7" s="6" t="s">
        <v>917</v>
      </c>
      <c r="D7" s="6" t="str" cm="1">
        <f t="array" ref="D7">TRIM(INDEX(_xlfn.TEXTSPLIT(C7, " "), 1))</f>
        <v>09:57:10.985263</v>
      </c>
      <c r="E7" s="6" t="str" cm="1">
        <f t="array" ref="E7">TRIM(INDEX(_xlfn.TEXTSPLIT(C7, " "), 2))</f>
        <v>IP</v>
      </c>
      <c r="F7" s="6" t="str" cm="1">
        <f t="array" ref="F7">TRIM(INDEX(_xlfn.TEXTSPLIT(C7, " "), 3))</f>
        <v>192.168.110.8.443</v>
      </c>
      <c r="G7" s="6" t="str" cm="1">
        <f t="array" ref="G7">TRIM(INDEX(_xlfn.TEXTSPLIT(C7, " "), 4))</f>
        <v>&gt;</v>
      </c>
      <c r="H7" s="6" t="str" cm="1">
        <f t="array" ref="H7">_xlfn.LET(
    _xlpm.v, TRIM(INDEX(_xlfn.TEXTSPLIT(C7, " "), 5)),
    IF(RIGHT(_xlpm.v,1)=":", LEFT(_xlpm.v, LEN(_xlpm.v)-1), _xlpm.v)
)</f>
        <v>192.168.100.28.56328</v>
      </c>
      <c r="I7" s="6" t="str">
        <f t="shared" ref="I7:I25" si="4">"Flags [" &amp; _xlfn.TEXTBEFORE(_xlfn.TEXTAFTER(C7,"Flags ["),"]") &amp; "]"</f>
        <v>Flags [S.]</v>
      </c>
      <c r="J7" s="6" t="str">
        <f t="shared" si="0"/>
        <v>seq 1792843407</v>
      </c>
      <c r="K7" s="6" t="str">
        <f t="shared" si="1"/>
        <v>ack 2833611590</v>
      </c>
      <c r="L7" s="6" t="str">
        <f t="shared" ref="L7:L25" si="5">IFERROR("win " &amp; _xlfn.TEXTBEFORE(_xlfn.TEXTAFTER(C7,"win "),","), "-")</f>
        <v>win 65160</v>
      </c>
      <c r="M7" s="6" t="str">
        <f t="shared" ref="M7:M25" si="6">IFERROR("options [" &amp; _xlfn.TEXTBEFORE(_xlfn.TEXTAFTER(C7,"options ["),"]") &amp; "]","-")</f>
        <v>options [mss 1460,sackOK,TS val 848081295 ecr 1511677727,nop,wscale 7]</v>
      </c>
      <c r="N7" s="6" t="str">
        <f t="shared" ref="N7:N25" si="7">TRIM(MID(C7, FIND("length ", C7), LEN(C7) - FIND("length ", C7) + 1))</f>
        <v>length 0</v>
      </c>
    </row>
    <row r="8" spans="1:14" x14ac:dyDescent="0.45">
      <c r="A8" s="6" t="str">
        <f t="shared" si="2"/>
        <v>lb-test⇒web-test</v>
      </c>
      <c r="B8" s="6" t="str">
        <f t="shared" si="3"/>
        <v>行き</v>
      </c>
      <c r="C8" s="6" t="s">
        <v>909</v>
      </c>
      <c r="D8" s="6" t="str" cm="1">
        <f t="array" ref="D8">TRIM(INDEX(_xlfn.TEXTSPLIT(C8, " "), 1))</f>
        <v>09:57:10.985972</v>
      </c>
      <c r="E8" s="6" t="str" cm="1">
        <f t="array" ref="E8">TRIM(INDEX(_xlfn.TEXTSPLIT(C8, " "), 2))</f>
        <v>IP</v>
      </c>
      <c r="F8" s="6" t="str" cm="1">
        <f t="array" ref="F8">TRIM(INDEX(_xlfn.TEXTSPLIT(C8, " "), 3))</f>
        <v>192.168.100.28.56328</v>
      </c>
      <c r="G8" s="6" t="str" cm="1">
        <f t="array" ref="G8">TRIM(INDEX(_xlfn.TEXTSPLIT(C8, " "), 4))</f>
        <v>&gt;</v>
      </c>
      <c r="H8" s="6" t="str" cm="1">
        <f t="array" ref="H8">_xlfn.LET(
    _xlpm.v, TRIM(INDEX(_xlfn.TEXTSPLIT(C8, " "), 5)),
    IF(RIGHT(_xlpm.v,1)=":", LEFT(_xlpm.v, LEN(_xlpm.v)-1), _xlpm.v)
)</f>
        <v>192.168.110.8.443</v>
      </c>
      <c r="I8" s="6" t="str">
        <f t="shared" si="4"/>
        <v>Flags [.]</v>
      </c>
      <c r="J8" s="6" t="str">
        <f t="shared" si="0"/>
        <v>-</v>
      </c>
      <c r="K8" s="6" t="str">
        <f t="shared" si="1"/>
        <v>ack 1</v>
      </c>
      <c r="L8" s="6" t="str">
        <f t="shared" si="5"/>
        <v>win 502</v>
      </c>
      <c r="M8" s="6" t="str">
        <f t="shared" si="6"/>
        <v>options [nop,nop,TS val 1511677727 ecr 848081295]</v>
      </c>
      <c r="N8" s="6" t="str">
        <f t="shared" si="7"/>
        <v>length 0</v>
      </c>
    </row>
    <row r="9" spans="1:14" x14ac:dyDescent="0.45">
      <c r="A9" s="6" t="str">
        <f t="shared" si="2"/>
        <v>lb-test⇒web-test</v>
      </c>
      <c r="B9" s="6" t="str">
        <f t="shared" si="3"/>
        <v>行き</v>
      </c>
      <c r="C9" s="6" t="s">
        <v>921</v>
      </c>
      <c r="D9" s="6" t="str" cm="1">
        <f t="array" ref="D9">TRIM(INDEX(_xlfn.TEXTSPLIT(C9, " "), 1))</f>
        <v>09:57:11.041519</v>
      </c>
      <c r="E9" s="6" t="str" cm="1">
        <f t="array" ref="E9">TRIM(INDEX(_xlfn.TEXTSPLIT(C9, " "), 2))</f>
        <v>IP</v>
      </c>
      <c r="F9" s="6" t="str" cm="1">
        <f t="array" ref="F9">TRIM(INDEX(_xlfn.TEXTSPLIT(C9, " "), 3))</f>
        <v>192.168.100.28.56328</v>
      </c>
      <c r="G9" s="6" t="str" cm="1">
        <f t="array" ref="G9">TRIM(INDEX(_xlfn.TEXTSPLIT(C9, " "), 4))</f>
        <v>&gt;</v>
      </c>
      <c r="H9" s="6" t="str" cm="1">
        <f t="array" ref="H9">_xlfn.LET(
    _xlpm.v, TRIM(INDEX(_xlfn.TEXTSPLIT(C9, " "), 5)),
    IF(RIGHT(_xlpm.v,1)=":", LEFT(_xlpm.v, LEN(_xlpm.v)-1), _xlpm.v)
)</f>
        <v>192.168.110.8.443</v>
      </c>
      <c r="I9" s="6" t="str">
        <f t="shared" si="4"/>
        <v>Flags [P.]</v>
      </c>
      <c r="J9" s="6" t="str">
        <f t="shared" si="0"/>
        <v>seq 1:518</v>
      </c>
      <c r="K9" s="6" t="str">
        <f t="shared" si="1"/>
        <v>ack 1</v>
      </c>
      <c r="L9" s="6" t="str">
        <f t="shared" si="5"/>
        <v>win 502</v>
      </c>
      <c r="M9" s="6" t="str">
        <f t="shared" si="6"/>
        <v>options [nop,nop,TS val 1511677783 ecr 848081295]</v>
      </c>
      <c r="N9" s="6" t="str">
        <f t="shared" si="7"/>
        <v>length 517</v>
      </c>
    </row>
    <row r="10" spans="1:14" x14ac:dyDescent="0.45">
      <c r="A10" s="6" t="str">
        <f t="shared" si="2"/>
        <v>web-test⇒lb-test</v>
      </c>
      <c r="B10" s="6" t="str">
        <f t="shared" si="3"/>
        <v>返り</v>
      </c>
      <c r="C10" s="6" t="s">
        <v>910</v>
      </c>
      <c r="D10" s="6" t="str" cm="1">
        <f t="array" ref="D10">TRIM(INDEX(_xlfn.TEXTSPLIT(C10, " "), 1))</f>
        <v>09:57:11.042405</v>
      </c>
      <c r="E10" s="6" t="str" cm="1">
        <f t="array" ref="E10">TRIM(INDEX(_xlfn.TEXTSPLIT(C10, " "), 2))</f>
        <v>IP</v>
      </c>
      <c r="F10" s="6" t="str" cm="1">
        <f t="array" ref="F10">TRIM(INDEX(_xlfn.TEXTSPLIT(C10, " "), 3))</f>
        <v>192.168.110.8.443</v>
      </c>
      <c r="G10" s="6" t="str" cm="1">
        <f t="array" ref="G10">TRIM(INDEX(_xlfn.TEXTSPLIT(C10, " "), 4))</f>
        <v>&gt;</v>
      </c>
      <c r="H10" s="6" t="str" cm="1">
        <f t="array" ref="H10">_xlfn.LET(
    _xlpm.v, TRIM(INDEX(_xlfn.TEXTSPLIT(C10, " "), 5)),
    IF(RIGHT(_xlpm.v,1)=":", LEFT(_xlpm.v, LEN(_xlpm.v)-1), _xlpm.v)
)</f>
        <v>192.168.100.28.56328</v>
      </c>
      <c r="I10" s="6" t="str">
        <f t="shared" si="4"/>
        <v>Flags [P.]</v>
      </c>
      <c r="J10" s="6" t="str">
        <f t="shared" si="0"/>
        <v>seq 1:1659</v>
      </c>
      <c r="K10" s="6" t="str">
        <f t="shared" si="1"/>
        <v>ack 518</v>
      </c>
      <c r="L10" s="6" t="str">
        <f t="shared" si="5"/>
        <v>win 506</v>
      </c>
      <c r="M10" s="6" t="str">
        <f t="shared" si="6"/>
        <v>options [nop,nop,TS val 848081352 ecr 1511677783]</v>
      </c>
      <c r="N10" s="6" t="str">
        <f t="shared" si="7"/>
        <v>length 1658</v>
      </c>
    </row>
    <row r="11" spans="1:14" x14ac:dyDescent="0.45">
      <c r="A11" s="6" t="str">
        <f t="shared" si="2"/>
        <v>lb-test⇒web-test</v>
      </c>
      <c r="B11" s="6" t="str">
        <f t="shared" si="3"/>
        <v>行き</v>
      </c>
      <c r="C11" s="6" t="s">
        <v>911</v>
      </c>
      <c r="D11" s="6" t="str" cm="1">
        <f t="array" ref="D11">TRIM(INDEX(_xlfn.TEXTSPLIT(C11, " "), 1))</f>
        <v>09:57:11.043177</v>
      </c>
      <c r="E11" s="6" t="str" cm="1">
        <f t="array" ref="E11">TRIM(INDEX(_xlfn.TEXTSPLIT(C11, " "), 2))</f>
        <v>IP</v>
      </c>
      <c r="F11" s="6" t="str" cm="1">
        <f t="array" ref="F11">TRIM(INDEX(_xlfn.TEXTSPLIT(C11, " "), 3))</f>
        <v>192.168.100.28.56328</v>
      </c>
      <c r="G11" s="6" t="str" cm="1">
        <f t="array" ref="G11">TRIM(INDEX(_xlfn.TEXTSPLIT(C11, " "), 4))</f>
        <v>&gt;</v>
      </c>
      <c r="H11" s="6" t="str" cm="1">
        <f t="array" ref="H11">_xlfn.LET(
    _xlpm.v, TRIM(INDEX(_xlfn.TEXTSPLIT(C11, " "), 5)),
    IF(RIGHT(_xlpm.v,1)=":", LEFT(_xlpm.v, LEN(_xlpm.v)-1), _xlpm.v)
)</f>
        <v>192.168.110.8.443</v>
      </c>
      <c r="I11" s="6" t="str">
        <f t="shared" si="4"/>
        <v>Flags [.]</v>
      </c>
      <c r="J11" s="6" t="str">
        <f t="shared" si="0"/>
        <v>-</v>
      </c>
      <c r="K11" s="6" t="str">
        <f t="shared" si="1"/>
        <v>ack 1659</v>
      </c>
      <c r="L11" s="6" t="str">
        <f t="shared" si="5"/>
        <v>win 490</v>
      </c>
      <c r="M11" s="6" t="str">
        <f t="shared" si="6"/>
        <v>options [nop,nop,TS val 1511677785 ecr 848081352]</v>
      </c>
      <c r="N11" s="6" t="str">
        <f t="shared" si="7"/>
        <v>length 0</v>
      </c>
    </row>
    <row r="12" spans="1:14" x14ac:dyDescent="0.45">
      <c r="A12" s="6" t="str">
        <f t="shared" si="2"/>
        <v>lb-test⇒web-test</v>
      </c>
      <c r="B12" s="6" t="str">
        <f t="shared" si="3"/>
        <v>行き</v>
      </c>
      <c r="C12" s="6" t="s">
        <v>912</v>
      </c>
      <c r="D12" s="6" t="str" cm="1">
        <f t="array" ref="D12">TRIM(INDEX(_xlfn.TEXTSPLIT(C12, " "), 1))</f>
        <v>09:57:11.077811</v>
      </c>
      <c r="E12" s="6" t="str" cm="1">
        <f t="array" ref="E12">TRIM(INDEX(_xlfn.TEXTSPLIT(C12, " "), 2))</f>
        <v>IP</v>
      </c>
      <c r="F12" s="6" t="str" cm="1">
        <f t="array" ref="F12">TRIM(INDEX(_xlfn.TEXTSPLIT(C12, " "), 3))</f>
        <v>192.168.100.28.56328</v>
      </c>
      <c r="G12" s="6" t="str" cm="1">
        <f t="array" ref="G12">TRIM(INDEX(_xlfn.TEXTSPLIT(C12, " "), 4))</f>
        <v>&gt;</v>
      </c>
      <c r="H12" s="6" t="str" cm="1">
        <f t="array" ref="H12">_xlfn.LET(
    _xlpm.v, TRIM(INDEX(_xlfn.TEXTSPLIT(C12, " "), 5)),
    IF(RIGHT(_xlpm.v,1)=":", LEFT(_xlpm.v, LEN(_xlpm.v)-1), _xlpm.v)
)</f>
        <v>192.168.110.8.443</v>
      </c>
      <c r="I12" s="6" t="str">
        <f t="shared" si="4"/>
        <v>Flags [P.]</v>
      </c>
      <c r="J12" s="6" t="str">
        <f t="shared" si="0"/>
        <v>seq 518:598</v>
      </c>
      <c r="K12" s="6" t="str">
        <f t="shared" si="1"/>
        <v>ack 1659</v>
      </c>
      <c r="L12" s="6" t="str">
        <f t="shared" si="5"/>
        <v>win 490</v>
      </c>
      <c r="M12" s="6" t="str">
        <f t="shared" si="6"/>
        <v>options [nop,nop,TS val 1511677819 ecr 848081352]</v>
      </c>
      <c r="N12" s="6" t="str">
        <f t="shared" si="7"/>
        <v>length 80</v>
      </c>
    </row>
    <row r="13" spans="1:14" x14ac:dyDescent="0.45">
      <c r="A13" s="6" t="str">
        <f t="shared" si="2"/>
        <v>lb-test⇒web-test</v>
      </c>
      <c r="B13" s="6" t="str">
        <f t="shared" si="3"/>
        <v>行き</v>
      </c>
      <c r="C13" s="6" t="s">
        <v>913</v>
      </c>
      <c r="D13" s="6" t="str" cm="1">
        <f t="array" ref="D13">TRIM(INDEX(_xlfn.TEXTSPLIT(C13, " "), 1))</f>
        <v>09:57:11.077812</v>
      </c>
      <c r="E13" s="6" t="str" cm="1">
        <f t="array" ref="E13">TRIM(INDEX(_xlfn.TEXTSPLIT(C13, " "), 2))</f>
        <v>IP</v>
      </c>
      <c r="F13" s="6" t="str" cm="1">
        <f t="array" ref="F13">TRIM(INDEX(_xlfn.TEXTSPLIT(C13, " "), 3))</f>
        <v>192.168.100.28.56328</v>
      </c>
      <c r="G13" s="6" t="str" cm="1">
        <f t="array" ref="G13">TRIM(INDEX(_xlfn.TEXTSPLIT(C13, " "), 4))</f>
        <v>&gt;</v>
      </c>
      <c r="H13" s="6" t="str" cm="1">
        <f t="array" ref="H13">_xlfn.LET(
    _xlpm.v, TRIM(INDEX(_xlfn.TEXTSPLIT(C13, " "), 5)),
    IF(RIGHT(_xlpm.v,1)=":", LEFT(_xlpm.v, LEN(_xlpm.v)-1), _xlpm.v)
)</f>
        <v>192.168.110.8.443</v>
      </c>
      <c r="I13" s="6" t="str">
        <f t="shared" si="4"/>
        <v>Flags [P.]</v>
      </c>
      <c r="J13" s="6" t="str">
        <f t="shared" ref="J13:J25" si="8">IFERROR("seq " &amp; _xlfn.TEXTBEFORE(_xlfn.TEXTAFTER(C13,"seq "),","), "-")</f>
        <v>seq 598:644</v>
      </c>
      <c r="K13" s="6" t="str">
        <f t="shared" si="1"/>
        <v>ack 1659</v>
      </c>
      <c r="L13" s="6" t="str">
        <f t="shared" si="5"/>
        <v>win 490</v>
      </c>
      <c r="M13" s="6" t="str">
        <f t="shared" si="6"/>
        <v>options [nop,nop,TS val 1511677819 ecr 848081352]</v>
      </c>
      <c r="N13" s="6" t="str">
        <f t="shared" si="7"/>
        <v>length 46</v>
      </c>
    </row>
    <row r="14" spans="1:14" x14ac:dyDescent="0.45">
      <c r="A14" s="6" t="str">
        <f t="shared" si="2"/>
        <v>lb-test⇒web-test</v>
      </c>
      <c r="B14" s="6" t="str">
        <f t="shared" si="3"/>
        <v>行き</v>
      </c>
      <c r="C14" s="6" t="s">
        <v>914</v>
      </c>
      <c r="D14" s="6" t="str" cm="1">
        <f t="array" ref="D14">TRIM(INDEX(_xlfn.TEXTSPLIT(C14, " "), 1))</f>
        <v>09:57:11.077812</v>
      </c>
      <c r="E14" s="6" t="str" cm="1">
        <f t="array" ref="E14">TRIM(INDEX(_xlfn.TEXTSPLIT(C14, " "), 2))</f>
        <v>IP</v>
      </c>
      <c r="F14" s="6" t="str" cm="1">
        <f t="array" ref="F14">TRIM(INDEX(_xlfn.TEXTSPLIT(C14, " "), 3))</f>
        <v>192.168.100.28.56328</v>
      </c>
      <c r="G14" s="6" t="str" cm="1">
        <f t="array" ref="G14">TRIM(INDEX(_xlfn.TEXTSPLIT(C14, " "), 4))</f>
        <v>&gt;</v>
      </c>
      <c r="H14" s="6" t="str" cm="1">
        <f t="array" ref="H14">_xlfn.LET(
    _xlpm.v, TRIM(INDEX(_xlfn.TEXTSPLIT(C14, " "), 5)),
    IF(RIGHT(_xlpm.v,1)=":", LEFT(_xlpm.v, LEN(_xlpm.v)-1), _xlpm.v)
)</f>
        <v>192.168.110.8.443</v>
      </c>
      <c r="I14" s="6" t="str">
        <f t="shared" si="4"/>
        <v>Flags [P.]</v>
      </c>
      <c r="J14" s="6" t="str">
        <f>IFERROR("seq " &amp; _xlfn.TEXTBEFORE(_xlfn.TEXTAFTER(C14,"seq "),","), "-")</f>
        <v>seq 644:693</v>
      </c>
      <c r="K14" s="6" t="str">
        <f t="shared" si="1"/>
        <v>ack 1659</v>
      </c>
      <c r="L14" s="6" t="str">
        <f t="shared" si="5"/>
        <v>win 490</v>
      </c>
      <c r="M14" s="6" t="str">
        <f t="shared" si="6"/>
        <v>options [nop,nop,TS val 1511677819 ecr 848081352]</v>
      </c>
      <c r="N14" s="6" t="str">
        <f t="shared" si="7"/>
        <v>length 49</v>
      </c>
    </row>
    <row r="15" spans="1:14" x14ac:dyDescent="0.45">
      <c r="A15" s="6" t="str">
        <f t="shared" si="2"/>
        <v>web-test⇒lb-test</v>
      </c>
      <c r="B15" s="6" t="str">
        <f t="shared" si="3"/>
        <v>返り</v>
      </c>
      <c r="C15" s="6" t="s">
        <v>915</v>
      </c>
      <c r="D15" s="6" t="str" cm="1">
        <f t="array" ref="D15">TRIM(INDEX(_xlfn.TEXTSPLIT(C15, " "), 1))</f>
        <v>09:57:11.078050</v>
      </c>
      <c r="E15" s="6" t="str" cm="1">
        <f t="array" ref="E15">TRIM(INDEX(_xlfn.TEXTSPLIT(C15, " "), 2))</f>
        <v>IP</v>
      </c>
      <c r="F15" s="6" t="str" cm="1">
        <f t="array" ref="F15">TRIM(INDEX(_xlfn.TEXTSPLIT(C15, " "), 3))</f>
        <v>192.168.110.8.443</v>
      </c>
      <c r="G15" s="6" t="str" cm="1">
        <f t="array" ref="G15">TRIM(INDEX(_xlfn.TEXTSPLIT(C15, " "), 4))</f>
        <v>&gt;</v>
      </c>
      <c r="H15" s="6" t="str" cm="1">
        <f t="array" ref="H15">_xlfn.LET(
    _xlpm.v, TRIM(INDEX(_xlfn.TEXTSPLIT(C15, " "), 5)),
    IF(RIGHT(_xlpm.v,1)=":", LEFT(_xlpm.v, LEN(_xlpm.v)-1), _xlpm.v)
)</f>
        <v>192.168.100.28.56328</v>
      </c>
      <c r="I15" s="6" t="str">
        <f t="shared" si="4"/>
        <v>Flags [P.]</v>
      </c>
      <c r="J15" s="6" t="str">
        <f t="shared" si="8"/>
        <v>seq 1659:1914</v>
      </c>
      <c r="K15" s="6" t="str">
        <f t="shared" si="1"/>
        <v>ack 693</v>
      </c>
      <c r="L15" s="6" t="str">
        <f t="shared" si="5"/>
        <v>win 505</v>
      </c>
      <c r="M15" s="6" t="str">
        <f t="shared" si="6"/>
        <v>options [nop,nop,TS val 848081388 ecr 1511677819]</v>
      </c>
      <c r="N15" s="6" t="str">
        <f t="shared" si="7"/>
        <v>length 255</v>
      </c>
    </row>
    <row r="16" spans="1:14" x14ac:dyDescent="0.45">
      <c r="A16" s="6" t="str">
        <f t="shared" si="2"/>
        <v>lb-test⇒web-test</v>
      </c>
      <c r="B16" s="6" t="str">
        <f t="shared" si="3"/>
        <v>行き</v>
      </c>
      <c r="C16" s="6" t="s">
        <v>916</v>
      </c>
      <c r="D16" s="6" t="str" cm="1">
        <f t="array" ref="D16">TRIM(INDEX(_xlfn.TEXTSPLIT(C16, " "), 1))</f>
        <v>09:57:11.078161</v>
      </c>
      <c r="E16" s="6" t="str" cm="1">
        <f t="array" ref="E16">TRIM(INDEX(_xlfn.TEXTSPLIT(C16, " "), 2))</f>
        <v>IP</v>
      </c>
      <c r="F16" s="6" t="str" cm="1">
        <f t="array" ref="F16">TRIM(INDEX(_xlfn.TEXTSPLIT(C16, " "), 3))</f>
        <v>192.168.100.28.56328</v>
      </c>
      <c r="G16" s="6" t="str" cm="1">
        <f t="array" ref="G16">TRIM(INDEX(_xlfn.TEXTSPLIT(C16, " "), 4))</f>
        <v>&gt;</v>
      </c>
      <c r="H16" s="6" t="str" cm="1">
        <f t="array" ref="H16">_xlfn.LET(
    _xlpm.v, TRIM(INDEX(_xlfn.TEXTSPLIT(C16, " "), 5)),
    IF(RIGHT(_xlpm.v,1)=":", LEFT(_xlpm.v, LEN(_xlpm.v)-1), _xlpm.v)
)</f>
        <v>192.168.110.8.443</v>
      </c>
      <c r="I16" s="6" t="str">
        <f t="shared" si="4"/>
        <v>Flags [P.]</v>
      </c>
      <c r="J16" s="6" t="str">
        <f t="shared" si="8"/>
        <v>seq 693:788</v>
      </c>
      <c r="K16" s="6" t="str">
        <f t="shared" si="1"/>
        <v>ack 1659</v>
      </c>
      <c r="L16" s="6" t="str">
        <f t="shared" si="5"/>
        <v>win 490</v>
      </c>
      <c r="M16" s="6" t="str">
        <f t="shared" si="6"/>
        <v>options [nop,nop,TS val 1511677819 ecr 848081352]</v>
      </c>
      <c r="N16" s="6" t="str">
        <f t="shared" si="7"/>
        <v>length 95</v>
      </c>
    </row>
    <row r="17" spans="1:14" x14ac:dyDescent="0.45">
      <c r="A17" s="6" t="str">
        <f t="shared" si="2"/>
        <v>web-test⇒lb-test</v>
      </c>
      <c r="B17" s="6" t="str">
        <f t="shared" si="3"/>
        <v>返り</v>
      </c>
      <c r="C17" s="6" t="s">
        <v>922</v>
      </c>
      <c r="D17" s="6" t="str" cm="1">
        <f t="array" ref="D17">TRIM(INDEX(_xlfn.TEXTSPLIT(C17, " "), 1))</f>
        <v>09:57:11.078177</v>
      </c>
      <c r="E17" s="6" t="str" cm="1">
        <f t="array" ref="E17">TRIM(INDEX(_xlfn.TEXTSPLIT(C17, " "), 2))</f>
        <v>IP</v>
      </c>
      <c r="F17" s="6" t="str" cm="1">
        <f t="array" ref="F17">TRIM(INDEX(_xlfn.TEXTSPLIT(C17, " "), 3))</f>
        <v>192.168.110.8.443</v>
      </c>
      <c r="G17" s="6" t="str" cm="1">
        <f t="array" ref="G17">TRIM(INDEX(_xlfn.TEXTSPLIT(C17, " "), 4))</f>
        <v>&gt;</v>
      </c>
      <c r="H17" s="6" t="str" cm="1">
        <f t="array" ref="H17">_xlfn.LET(
    _xlpm.v, TRIM(INDEX(_xlfn.TEXTSPLIT(C17, " "), 5)),
    IF(RIGHT(_xlpm.v,1)=":", LEFT(_xlpm.v, LEN(_xlpm.v)-1), _xlpm.v)
)</f>
        <v>192.168.100.28.56328</v>
      </c>
      <c r="I17" s="6" t="str">
        <f t="shared" si="4"/>
        <v>Flags [P.]</v>
      </c>
      <c r="J17" s="6" t="str">
        <f t="shared" si="8"/>
        <v>seq 1914:2169</v>
      </c>
      <c r="K17" s="6" t="str">
        <f t="shared" si="1"/>
        <v>ack 788</v>
      </c>
      <c r="L17" s="6" t="str">
        <f t="shared" si="5"/>
        <v>win 505</v>
      </c>
      <c r="M17" s="6" t="str">
        <f t="shared" si="6"/>
        <v>options [nop,nop,TS val 848081388 ecr 1511677819]</v>
      </c>
      <c r="N17" s="6" t="str">
        <f t="shared" si="7"/>
        <v>length 255</v>
      </c>
    </row>
    <row r="18" spans="1:14" x14ac:dyDescent="0.45">
      <c r="A18" s="6" t="str">
        <f t="shared" si="2"/>
        <v>web-test⇒lb-test</v>
      </c>
      <c r="B18" s="6" t="str">
        <f t="shared" si="3"/>
        <v>返り</v>
      </c>
      <c r="C18" s="6" t="s">
        <v>923</v>
      </c>
      <c r="D18" s="6" t="str" cm="1">
        <f t="array" ref="D18">TRIM(INDEX(_xlfn.TEXTSPLIT(C18, " "), 1))</f>
        <v>09:57:11.078286</v>
      </c>
      <c r="E18" s="6" t="str" cm="1">
        <f t="array" ref="E18">TRIM(INDEX(_xlfn.TEXTSPLIT(C18, " "), 2))</f>
        <v>IP</v>
      </c>
      <c r="F18" s="6" t="str" cm="1">
        <f t="array" ref="F18">TRIM(INDEX(_xlfn.TEXTSPLIT(C18, " "), 3))</f>
        <v>192.168.110.8.443</v>
      </c>
      <c r="G18" s="6" t="str" cm="1">
        <f t="array" ref="G18">TRIM(INDEX(_xlfn.TEXTSPLIT(C18, " "), 4))</f>
        <v>&gt;</v>
      </c>
      <c r="H18" s="6" t="str" cm="1">
        <f t="array" ref="H18">_xlfn.LET(
    _xlpm.v, TRIM(INDEX(_xlfn.TEXTSPLIT(C18, " "), 5)),
    IF(RIGHT(_xlpm.v,1)=":", LEFT(_xlpm.v, LEN(_xlpm.v)-1), _xlpm.v)
)</f>
        <v>192.168.100.28.56328</v>
      </c>
      <c r="I18" s="6" t="str">
        <f t="shared" si="4"/>
        <v>Flags [P.]</v>
      </c>
      <c r="J18" s="6" t="str">
        <f t="shared" si="8"/>
        <v>seq 2169:2227</v>
      </c>
      <c r="K18" s="6" t="str">
        <f t="shared" ref="K18:K25" si="9">IFERROR("ack " &amp; _xlfn.TEXTBEFORE(_xlfn.TEXTAFTER(C18,"ack "),","), "-")</f>
        <v>ack 788</v>
      </c>
      <c r="L18" s="6" t="str">
        <f t="shared" si="5"/>
        <v>win 505</v>
      </c>
      <c r="M18" s="6" t="str">
        <f t="shared" si="6"/>
        <v>options [nop,nop,TS val 848081388 ecr 1511677819]</v>
      </c>
      <c r="N18" s="6" t="str">
        <f t="shared" si="7"/>
        <v>length 58</v>
      </c>
    </row>
    <row r="19" spans="1:14" x14ac:dyDescent="0.45">
      <c r="A19" s="6" t="str">
        <f t="shared" si="2"/>
        <v>lb-test⇒web-test</v>
      </c>
      <c r="B19" s="6" t="str">
        <f t="shared" si="3"/>
        <v>行き</v>
      </c>
      <c r="C19" s="6" t="s">
        <v>924</v>
      </c>
      <c r="D19" s="6" t="str" cm="1">
        <f t="array" ref="D19">TRIM(INDEX(_xlfn.TEXTSPLIT(C19, " "), 1))</f>
        <v>09:57:11.079049</v>
      </c>
      <c r="E19" s="6" t="str" cm="1">
        <f t="array" ref="E19">TRIM(INDEX(_xlfn.TEXTSPLIT(C19, " "), 2))</f>
        <v>IP</v>
      </c>
      <c r="F19" s="6" t="str" cm="1">
        <f t="array" ref="F19">TRIM(INDEX(_xlfn.TEXTSPLIT(C19, " "), 3))</f>
        <v>192.168.100.28.56328</v>
      </c>
      <c r="G19" s="6" t="str" cm="1">
        <f t="array" ref="G19">TRIM(INDEX(_xlfn.TEXTSPLIT(C19, " "), 4))</f>
        <v>&gt;</v>
      </c>
      <c r="H19" s="6" t="str" cm="1">
        <f t="array" ref="H19">_xlfn.LET(
    _xlpm.v, TRIM(INDEX(_xlfn.TEXTSPLIT(C19, " "), 5)),
    IF(RIGHT(_xlpm.v,1)=":", LEFT(_xlpm.v, LEN(_xlpm.v)-1), _xlpm.v)
)</f>
        <v>192.168.110.8.443</v>
      </c>
      <c r="I19" s="6" t="str">
        <f t="shared" si="4"/>
        <v>Flags [.]</v>
      </c>
      <c r="J19" s="6" t="str">
        <f t="shared" si="8"/>
        <v>-</v>
      </c>
      <c r="K19" s="6" t="str">
        <f t="shared" si="9"/>
        <v>ack 2227</v>
      </c>
      <c r="L19" s="6" t="str">
        <f t="shared" si="5"/>
        <v>win 486</v>
      </c>
      <c r="M19" s="6" t="str">
        <f t="shared" si="6"/>
        <v>options [nop,nop,TS val 1511677821 ecr 848081388]</v>
      </c>
      <c r="N19" s="6" t="str">
        <f t="shared" si="7"/>
        <v>length 0</v>
      </c>
    </row>
    <row r="20" spans="1:14" x14ac:dyDescent="0.45">
      <c r="A20" s="6" t="str">
        <f t="shared" si="2"/>
        <v>lb-test⇒web-test</v>
      </c>
      <c r="B20" s="6" t="str">
        <f t="shared" si="3"/>
        <v>行き</v>
      </c>
      <c r="C20" s="6" t="s">
        <v>925</v>
      </c>
      <c r="D20" s="6" t="str" cm="1">
        <f t="array" ref="D20">TRIM(INDEX(_xlfn.TEXTSPLIT(C20, " "), 1))</f>
        <v>09:57:11.079049</v>
      </c>
      <c r="E20" s="6" t="str" cm="1">
        <f t="array" ref="E20">TRIM(INDEX(_xlfn.TEXTSPLIT(C20, " "), 2))</f>
        <v>IP</v>
      </c>
      <c r="F20" s="6" t="str" cm="1">
        <f t="array" ref="F20">TRIM(INDEX(_xlfn.TEXTSPLIT(C20, " "), 3))</f>
        <v>192.168.100.28.56328</v>
      </c>
      <c r="G20" s="6" t="str" cm="1">
        <f t="array" ref="G20">TRIM(INDEX(_xlfn.TEXTSPLIT(C20, " "), 4))</f>
        <v>&gt;</v>
      </c>
      <c r="H20" s="6" t="str" cm="1">
        <f t="array" ref="H20">_xlfn.LET(
    _xlpm.v, TRIM(INDEX(_xlfn.TEXTSPLIT(C20, " "), 5)),
    IF(RIGHT(_xlpm.v,1)=":", LEFT(_xlpm.v, LEN(_xlpm.v)-1), _xlpm.v)
)</f>
        <v>192.168.110.8.443</v>
      </c>
      <c r="I20" s="6" t="str">
        <f t="shared" si="4"/>
        <v>Flags [P.]</v>
      </c>
      <c r="J20" s="6" t="str">
        <f t="shared" si="8"/>
        <v>seq 788:819</v>
      </c>
      <c r="K20" s="6" t="str">
        <f t="shared" si="9"/>
        <v>ack 2227</v>
      </c>
      <c r="L20" s="6" t="str">
        <f t="shared" si="5"/>
        <v>win 486</v>
      </c>
      <c r="M20" s="6" t="str">
        <f t="shared" si="6"/>
        <v>options [nop,nop,TS val 1511677821 ecr 848081388]</v>
      </c>
      <c r="N20" s="6" t="str">
        <f t="shared" si="7"/>
        <v>length 31</v>
      </c>
    </row>
    <row r="21" spans="1:14" x14ac:dyDescent="0.45">
      <c r="A21" s="6" t="str">
        <f t="shared" si="2"/>
        <v>web-test⇒lb-test</v>
      </c>
      <c r="B21" s="6" t="str">
        <f t="shared" si="3"/>
        <v>返り</v>
      </c>
      <c r="C21" s="6" t="s">
        <v>926</v>
      </c>
      <c r="D21" s="6" t="str" cm="1">
        <f t="array" ref="D21">TRIM(INDEX(_xlfn.TEXTSPLIT(C21, " "), 1))</f>
        <v>09:57:11.079280</v>
      </c>
      <c r="E21" s="6" t="str" cm="1">
        <f t="array" ref="E21">TRIM(INDEX(_xlfn.TEXTSPLIT(C21, " "), 2))</f>
        <v>IP</v>
      </c>
      <c r="F21" s="6" t="str" cm="1">
        <f t="array" ref="F21">TRIM(INDEX(_xlfn.TEXTSPLIT(C21, " "), 3))</f>
        <v>192.168.110.8.443</v>
      </c>
      <c r="G21" s="6" t="str" cm="1">
        <f t="array" ref="G21">TRIM(INDEX(_xlfn.TEXTSPLIT(C21, " "), 4))</f>
        <v>&gt;</v>
      </c>
      <c r="H21" s="6" t="str" cm="1">
        <f t="array" ref="H21">_xlfn.LET(
    _xlpm.v, TRIM(INDEX(_xlfn.TEXTSPLIT(C21, " "), 5)),
    IF(RIGHT(_xlpm.v,1)=":", LEFT(_xlpm.v, LEN(_xlpm.v)-1), _xlpm.v)
)</f>
        <v>192.168.100.28.56328</v>
      </c>
      <c r="I21" s="6" t="str">
        <f t="shared" si="4"/>
        <v>Flags [P.]</v>
      </c>
      <c r="J21" s="6" t="str">
        <f t="shared" si="8"/>
        <v>seq 2227:2484</v>
      </c>
      <c r="K21" s="6" t="str">
        <f t="shared" si="9"/>
        <v>ack 819</v>
      </c>
      <c r="L21" s="6" t="str">
        <f t="shared" si="5"/>
        <v>win 505</v>
      </c>
      <c r="M21" s="6" t="str">
        <f t="shared" si="6"/>
        <v>options [nop,nop,TS val 848081389 ecr 1511677821]</v>
      </c>
      <c r="N21" s="6" t="str">
        <f t="shared" si="7"/>
        <v>length 257</v>
      </c>
    </row>
    <row r="22" spans="1:14" x14ac:dyDescent="0.45">
      <c r="A22" s="6" t="str">
        <f t="shared" si="2"/>
        <v>lb-test⇒web-test</v>
      </c>
      <c r="B22" s="6" t="str">
        <f t="shared" si="3"/>
        <v>行き</v>
      </c>
      <c r="C22" s="6" t="s">
        <v>927</v>
      </c>
      <c r="D22" s="6" t="str" cm="1">
        <f t="array" ref="D22">TRIM(INDEX(_xlfn.TEXTSPLIT(C22, " "), 1))</f>
        <v>09:57:11.080453</v>
      </c>
      <c r="E22" s="6" t="str" cm="1">
        <f t="array" ref="E22">TRIM(INDEX(_xlfn.TEXTSPLIT(C22, " "), 2))</f>
        <v>IP</v>
      </c>
      <c r="F22" s="6" t="str" cm="1">
        <f t="array" ref="F22">TRIM(INDEX(_xlfn.TEXTSPLIT(C22, " "), 3))</f>
        <v>192.168.100.28.56328</v>
      </c>
      <c r="G22" s="6" t="str" cm="1">
        <f t="array" ref="G22">TRIM(INDEX(_xlfn.TEXTSPLIT(C22, " "), 4))</f>
        <v>&gt;</v>
      </c>
      <c r="H22" s="6" t="str" cm="1">
        <f t="array" ref="H22">_xlfn.LET(
    _xlpm.v, TRIM(INDEX(_xlfn.TEXTSPLIT(C22, " "), 5)),
    IF(RIGHT(_xlpm.v,1)=":", LEFT(_xlpm.v, LEN(_xlpm.v)-1), _xlpm.v)
)</f>
        <v>192.168.110.8.443</v>
      </c>
      <c r="I22" s="6" t="str">
        <f t="shared" si="4"/>
        <v>Flags [P.]</v>
      </c>
      <c r="J22" s="6" t="str">
        <f t="shared" si="8"/>
        <v>seq 819:843</v>
      </c>
      <c r="K22" s="6" t="str">
        <f t="shared" si="9"/>
        <v>ack 2484</v>
      </c>
      <c r="L22" s="6" t="str">
        <f t="shared" si="5"/>
        <v>win 484</v>
      </c>
      <c r="M22" s="6" t="str">
        <f t="shared" si="6"/>
        <v>options [nop,nop,TS val 1511677822 ecr 848081389]</v>
      </c>
      <c r="N22" s="6" t="str">
        <f t="shared" si="7"/>
        <v>length 24</v>
      </c>
    </row>
    <row r="23" spans="1:14" x14ac:dyDescent="0.45">
      <c r="A23" s="6" t="str">
        <f t="shared" si="2"/>
        <v>web-test⇒lb-test</v>
      </c>
      <c r="B23" s="6" t="str">
        <f t="shared" si="3"/>
        <v>返り</v>
      </c>
      <c r="C23" s="6" t="s">
        <v>920</v>
      </c>
      <c r="D23" s="6" t="str" cm="1">
        <f t="array" ref="D23">TRIM(INDEX(_xlfn.TEXTSPLIT(C23, " "), 1))</f>
        <v>09:57:11.080530</v>
      </c>
      <c r="E23" s="6" t="str" cm="1">
        <f t="array" ref="E23">TRIM(INDEX(_xlfn.TEXTSPLIT(C23, " "), 2))</f>
        <v>IP</v>
      </c>
      <c r="F23" s="6" t="str" cm="1">
        <f t="array" ref="F23">TRIM(INDEX(_xlfn.TEXTSPLIT(C23, " "), 3))</f>
        <v>192.168.110.8.443</v>
      </c>
      <c r="G23" s="6" t="str" cm="1">
        <f t="array" ref="G23">TRIM(INDEX(_xlfn.TEXTSPLIT(C23, " "), 4))</f>
        <v>&gt;</v>
      </c>
      <c r="H23" s="6" t="str" cm="1">
        <f t="array" ref="H23">_xlfn.LET(
    _xlpm.v, TRIM(INDEX(_xlfn.TEXTSPLIT(C23, " "), 5)),
    IF(RIGHT(_xlpm.v,1)=":", LEFT(_xlpm.v, LEN(_xlpm.v)-1), _xlpm.v)
)</f>
        <v>192.168.100.28.56328</v>
      </c>
      <c r="I23" s="6" t="str">
        <f t="shared" si="4"/>
        <v>Flags [P.]</v>
      </c>
      <c r="J23" s="6" t="str">
        <f t="shared" si="8"/>
        <v>seq 2484:2508</v>
      </c>
      <c r="K23" s="6" t="str">
        <f t="shared" si="9"/>
        <v>ack 843</v>
      </c>
      <c r="L23" s="6" t="str">
        <f t="shared" si="5"/>
        <v>win 505</v>
      </c>
      <c r="M23" s="6" t="str">
        <f t="shared" si="6"/>
        <v>options [nop,nop,TS val 848081390 ecr 1511677822]</v>
      </c>
      <c r="N23" s="6" t="str">
        <f t="shared" si="7"/>
        <v>length 24</v>
      </c>
    </row>
    <row r="24" spans="1:14" x14ac:dyDescent="0.45">
      <c r="A24" s="6" t="str">
        <f t="shared" si="2"/>
        <v>web-test⇒lb-test</v>
      </c>
      <c r="B24" s="6" t="str">
        <f t="shared" si="3"/>
        <v>返り</v>
      </c>
      <c r="C24" s="6" t="s">
        <v>918</v>
      </c>
      <c r="D24" s="6" t="str" cm="1">
        <f t="array" ref="D24">TRIM(INDEX(_xlfn.TEXTSPLIT(C24, " "), 1))</f>
        <v>09:57:11.080565</v>
      </c>
      <c r="E24" s="6" t="str" cm="1">
        <f t="array" ref="E24">TRIM(INDEX(_xlfn.TEXTSPLIT(C24, " "), 2))</f>
        <v>IP</v>
      </c>
      <c r="F24" s="6" t="str" cm="1">
        <f t="array" ref="F24">TRIM(INDEX(_xlfn.TEXTSPLIT(C24, " "), 3))</f>
        <v>192.168.110.8.443</v>
      </c>
      <c r="G24" s="6" t="str" cm="1">
        <f t="array" ref="G24">TRIM(INDEX(_xlfn.TEXTSPLIT(C24, " "), 4))</f>
        <v>&gt;</v>
      </c>
      <c r="H24" s="6" t="str" cm="1">
        <f t="array" ref="H24">_xlfn.LET(
    _xlpm.v, TRIM(INDEX(_xlfn.TEXTSPLIT(C24, " "), 5)),
    IF(RIGHT(_xlpm.v,1)=":", LEFT(_xlpm.v, LEN(_xlpm.v)-1), _xlpm.v)
)</f>
        <v>192.168.100.28.56328</v>
      </c>
      <c r="I24" s="6" t="str">
        <f t="shared" si="4"/>
        <v>Flags [F.]</v>
      </c>
      <c r="J24" s="6" t="str">
        <f t="shared" si="8"/>
        <v>seq 2508</v>
      </c>
      <c r="K24" s="6" t="str">
        <f t="shared" si="9"/>
        <v>ack 843</v>
      </c>
      <c r="L24" s="6" t="str">
        <f t="shared" si="5"/>
        <v>win 505</v>
      </c>
      <c r="M24" s="6" t="str">
        <f t="shared" si="6"/>
        <v>options [nop,nop,TS val 848081390 ecr 1511677822]</v>
      </c>
      <c r="N24" s="6" t="str">
        <f t="shared" si="7"/>
        <v>length 0</v>
      </c>
    </row>
    <row r="25" spans="1:14" x14ac:dyDescent="0.45">
      <c r="A25" s="6" t="str">
        <f t="shared" si="2"/>
        <v>lb-test⇒web-test</v>
      </c>
      <c r="B25" s="6" t="str">
        <f t="shared" si="3"/>
        <v>行き</v>
      </c>
      <c r="C25" s="6" t="s">
        <v>919</v>
      </c>
      <c r="D25" s="6" t="str" cm="1">
        <f t="array" ref="D25">TRIM(INDEX(_xlfn.TEXTSPLIT(C25, " "), 1))</f>
        <v>09:57:11.081490</v>
      </c>
      <c r="E25" s="6" t="str" cm="1">
        <f t="array" ref="E25">TRIM(INDEX(_xlfn.TEXTSPLIT(C25, " "), 2))</f>
        <v>IP</v>
      </c>
      <c r="F25" s="6" t="str" cm="1">
        <f t="array" ref="F25">TRIM(INDEX(_xlfn.TEXTSPLIT(C25, " "), 3))</f>
        <v>192.168.100.28.56328</v>
      </c>
      <c r="G25" s="6" t="str" cm="1">
        <f t="array" ref="G25">TRIM(INDEX(_xlfn.TEXTSPLIT(C25, " "), 4))</f>
        <v>&gt;</v>
      </c>
      <c r="H25" s="6" t="str" cm="1">
        <f t="array" ref="H25">_xlfn.LET(
    _xlpm.v, TRIM(INDEX(_xlfn.TEXTSPLIT(C25, " "), 5)),
    IF(RIGHT(_xlpm.v,1)=":", LEFT(_xlpm.v, LEN(_xlpm.v)-1), _xlpm.v)
)</f>
        <v>192.168.110.8.443</v>
      </c>
      <c r="I25" s="6" t="str">
        <f t="shared" si="4"/>
        <v>Flags [R.]</v>
      </c>
      <c r="J25" s="6" t="str">
        <f t="shared" si="8"/>
        <v>seq 843</v>
      </c>
      <c r="K25" s="6" t="str">
        <f t="shared" si="9"/>
        <v>ack 2509</v>
      </c>
      <c r="L25" s="6" t="str">
        <f t="shared" si="5"/>
        <v>win 484</v>
      </c>
      <c r="M25" s="6" t="str">
        <f t="shared" si="6"/>
        <v>options [nop,nop,TS val 1511677823 ecr 848081390]</v>
      </c>
      <c r="N25" s="6" t="str">
        <f t="shared" si="7"/>
        <v>length 0</v>
      </c>
    </row>
    <row r="26" spans="1:14" x14ac:dyDescent="0.45">
      <c r="A26" s="12"/>
    </row>
    <row r="27" spans="1:14" x14ac:dyDescent="0.45">
      <c r="A27" s="12" t="s">
        <v>929</v>
      </c>
    </row>
    <row r="28" spans="1:14" x14ac:dyDescent="0.45">
      <c r="A28" s="12" t="s">
        <v>907</v>
      </c>
    </row>
    <row r="29" spans="1:14" x14ac:dyDescent="0.45">
      <c r="A29" s="12" t="s">
        <v>399</v>
      </c>
    </row>
    <row r="30" spans="1:14" x14ac:dyDescent="0.45">
      <c r="A30" s="72" t="s">
        <v>297</v>
      </c>
      <c r="B30" s="72" t="s">
        <v>92</v>
      </c>
      <c r="C30" s="72" t="s">
        <v>91</v>
      </c>
      <c r="D30" s="72" t="s">
        <v>30</v>
      </c>
      <c r="E30" s="72" t="s">
        <v>31</v>
      </c>
      <c r="F30" s="72" t="s">
        <v>122</v>
      </c>
      <c r="G30" s="72" t="s">
        <v>33</v>
      </c>
      <c r="H30" s="72" t="s">
        <v>123</v>
      </c>
      <c r="I30" s="72" t="s">
        <v>157</v>
      </c>
      <c r="J30" s="72" t="s">
        <v>158</v>
      </c>
      <c r="K30" s="72" t="s">
        <v>159</v>
      </c>
      <c r="L30" s="72" t="s">
        <v>160</v>
      </c>
      <c r="M30" s="72" t="s">
        <v>161</v>
      </c>
      <c r="N30" s="72" t="s">
        <v>34</v>
      </c>
    </row>
    <row r="31" spans="1:14" x14ac:dyDescent="0.45">
      <c r="A31" s="6" t="str">
        <f>IF(B31="行き","lb-test⇒web-test",IF(B31="返り","web-test⇒lb-test",""))</f>
        <v>lb-test⇒web-test</v>
      </c>
      <c r="B31" s="6" t="str">
        <f>IF(F31="192.168.110.9.80","返り","行き")</f>
        <v>行き</v>
      </c>
      <c r="C31" s="6" t="s">
        <v>930</v>
      </c>
      <c r="D31" s="6" t="str" cm="1">
        <f t="array" ref="D31">TRIM(INDEX(_xlfn.TEXTSPLIT(C31, " "), 1))</f>
        <v>09:49:09.311562</v>
      </c>
      <c r="E31" s="6" t="str" cm="1">
        <f t="array" ref="E31">TRIM(INDEX(_xlfn.TEXTSPLIT(C31, " "), 2))</f>
        <v>IP</v>
      </c>
      <c r="F31" s="6" t="str" cm="1">
        <f t="array" ref="F31">TRIM(INDEX(_xlfn.TEXTSPLIT(C31, " "), 3))</f>
        <v>192.168.110.8.42164</v>
      </c>
      <c r="G31" s="6" t="str" cm="1">
        <f t="array" ref="G31">TRIM(INDEX(_xlfn.TEXTSPLIT(C31, " "), 4))</f>
        <v>&gt;</v>
      </c>
      <c r="H31" s="6" t="str" cm="1">
        <f t="array" ref="H31">_xlfn.LET(
    _xlpm.v, TRIM(INDEX(_xlfn.TEXTSPLIT(C31, " "), 5)),
    IF(RIGHT(_xlpm.v,1)=":", LEFT(_xlpm.v, LEN(_xlpm.v)-1), _xlpm.v)
)</f>
        <v>192.168.110.9.80</v>
      </c>
      <c r="I31" s="6" t="str">
        <f>"Flags [" &amp; _xlfn.TEXTBEFORE(_xlfn.TEXTAFTER(C31,"Flags ["),"]") &amp; "]"</f>
        <v>Flags [S]</v>
      </c>
      <c r="J31" s="6" t="str">
        <f t="shared" ref="J31:J37" si="10">IFERROR("seq " &amp; _xlfn.TEXTBEFORE(_xlfn.TEXTAFTER(C31,"seq "),","), "-")</f>
        <v>seq 1802799243</v>
      </c>
      <c r="K31" s="6" t="str">
        <f t="shared" ref="K31:K40" si="11">IFERROR("ack " &amp; _xlfn.TEXTBEFORE(_xlfn.TEXTAFTER(C31,"ack "),","), "-")</f>
        <v>-</v>
      </c>
      <c r="L31" s="6" t="str">
        <f>IFERROR("win " &amp; _xlfn.TEXTBEFORE(_xlfn.TEXTAFTER(C31,"win "),","), "-")</f>
        <v>win 64240</v>
      </c>
      <c r="M31" s="6" t="str">
        <f>IFERROR("options [" &amp; _xlfn.TEXTBEFORE(_xlfn.TEXTAFTER(C31,"options ["),"]") &amp; "]","-")</f>
        <v>options [mss 1460,sackOK,TS val 158938497 ecr 0,nop,wscale 7]</v>
      </c>
      <c r="N31" s="6" t="str">
        <f>TRIM(MID(C31, FIND("length ", C31), LEN(C31) - FIND("length ", C31) + 1))</f>
        <v>length 0</v>
      </c>
    </row>
    <row r="32" spans="1:14" x14ac:dyDescent="0.45">
      <c r="A32" s="6" t="str">
        <f t="shared" ref="A32:A40" si="12">IF(B32="行き","lb-test⇒web-test",IF(B32="返り","web-test⇒lb-test",""))</f>
        <v>web-test⇒lb-test</v>
      </c>
      <c r="B32" s="6" t="str">
        <f t="shared" ref="B32:B40" si="13">IF(F32="192.168.110.9.80","返り","行き")</f>
        <v>返り</v>
      </c>
      <c r="C32" s="6" t="s">
        <v>931</v>
      </c>
      <c r="D32" s="6" t="str" cm="1">
        <f t="array" ref="D32">TRIM(INDEX(_xlfn.TEXTSPLIT(C32, " "), 1))</f>
        <v>09:49:09.311995</v>
      </c>
      <c r="E32" s="6" t="str" cm="1">
        <f t="array" ref="E32">TRIM(INDEX(_xlfn.TEXTSPLIT(C32, " "), 2))</f>
        <v>IP</v>
      </c>
      <c r="F32" s="6" t="str" cm="1">
        <f t="array" ref="F32">TRIM(INDEX(_xlfn.TEXTSPLIT(C32, " "), 3))</f>
        <v>192.168.110.9.80</v>
      </c>
      <c r="G32" s="6" t="str" cm="1">
        <f t="array" ref="G32">TRIM(INDEX(_xlfn.TEXTSPLIT(C32, " "), 4))</f>
        <v>&gt;</v>
      </c>
      <c r="H32" s="6" t="str" cm="1">
        <f t="array" ref="H32">_xlfn.LET(
    _xlpm.v, TRIM(INDEX(_xlfn.TEXTSPLIT(C32, " "), 5)),
    IF(RIGHT(_xlpm.v,1)=":", LEFT(_xlpm.v, LEN(_xlpm.v)-1), _xlpm.v)
)</f>
        <v>192.168.110.8.42164</v>
      </c>
      <c r="I32" s="6" t="str">
        <f t="shared" ref="I32:I40" si="14">"Flags [" &amp; _xlfn.TEXTBEFORE(_xlfn.TEXTAFTER(C32,"Flags ["),"]") &amp; "]"</f>
        <v>Flags [R.]</v>
      </c>
      <c r="J32" s="6" t="str">
        <f t="shared" si="10"/>
        <v>seq 0</v>
      </c>
      <c r="K32" s="6" t="str">
        <f t="shared" si="11"/>
        <v>ack 1802799244</v>
      </c>
      <c r="L32" s="6" t="str">
        <f t="shared" ref="L32:L40" si="15">IFERROR("win " &amp; _xlfn.TEXTBEFORE(_xlfn.TEXTAFTER(C32,"win "),","), "-")</f>
        <v>win 0</v>
      </c>
      <c r="M32" s="6" t="str">
        <f t="shared" ref="M32:M40" si="16">IFERROR("options [" &amp; _xlfn.TEXTBEFORE(_xlfn.TEXTAFTER(C32,"options ["),"]") &amp; "]","-")</f>
        <v>-</v>
      </c>
      <c r="N32" s="6" t="str">
        <f t="shared" ref="N32:N40" si="17">TRIM(MID(C32, FIND("length ", C32), LEN(C32) - FIND("length ", C32) + 1))</f>
        <v>length 0</v>
      </c>
    </row>
    <row r="33" spans="1:14" x14ac:dyDescent="0.45">
      <c r="A33" s="6" t="str">
        <f t="shared" si="12"/>
        <v>lb-test⇒web-test</v>
      </c>
      <c r="B33" s="6" t="str">
        <f t="shared" si="13"/>
        <v>行き</v>
      </c>
      <c r="C33" s="6" t="s">
        <v>932</v>
      </c>
      <c r="D33" s="6" t="str" cm="1">
        <f t="array" ref="D33">TRIM(INDEX(_xlfn.TEXTSPLIT(C33, " "), 1))</f>
        <v>09:49:11.315613</v>
      </c>
      <c r="E33" s="6" t="str" cm="1">
        <f t="array" ref="E33">TRIM(INDEX(_xlfn.TEXTSPLIT(C33, " "), 2))</f>
        <v>IP</v>
      </c>
      <c r="F33" s="6" t="str" cm="1">
        <f t="array" ref="F33">TRIM(INDEX(_xlfn.TEXTSPLIT(C33, " "), 3))</f>
        <v>192.168.110.8.57092</v>
      </c>
      <c r="G33" s="6" t="str" cm="1">
        <f t="array" ref="G33">TRIM(INDEX(_xlfn.TEXTSPLIT(C33, " "), 4))</f>
        <v>&gt;</v>
      </c>
      <c r="H33" s="6" t="str" cm="1">
        <f t="array" ref="H33">_xlfn.LET(
    _xlpm.v, TRIM(INDEX(_xlfn.TEXTSPLIT(C33, " "), 5)),
    IF(RIGHT(_xlpm.v,1)=":", LEFT(_xlpm.v, LEN(_xlpm.v)-1), _xlpm.v)
)</f>
        <v>192.168.110.9.80</v>
      </c>
      <c r="I33" s="6" t="str">
        <f t="shared" si="14"/>
        <v>Flags [S]</v>
      </c>
      <c r="J33" s="6" t="str">
        <f t="shared" si="10"/>
        <v>seq 1815191212</v>
      </c>
      <c r="K33" s="6" t="str">
        <f t="shared" si="11"/>
        <v>-</v>
      </c>
      <c r="L33" s="6" t="str">
        <f t="shared" si="15"/>
        <v>win 64240</v>
      </c>
      <c r="M33" s="6" t="str">
        <f t="shared" si="16"/>
        <v>options [mss 1460,sackOK,TS val 158940501 ecr 0,nop,wscale 7]</v>
      </c>
      <c r="N33" s="6" t="str">
        <f t="shared" si="17"/>
        <v>length 0</v>
      </c>
    </row>
    <row r="34" spans="1:14" x14ac:dyDescent="0.45">
      <c r="A34" s="6" t="str">
        <f t="shared" si="12"/>
        <v>web-test⇒lb-test</v>
      </c>
      <c r="B34" s="6" t="str">
        <f t="shared" si="13"/>
        <v>返り</v>
      </c>
      <c r="C34" s="6" t="s">
        <v>933</v>
      </c>
      <c r="D34" s="6" t="str" cm="1">
        <f t="array" ref="D34">TRIM(INDEX(_xlfn.TEXTSPLIT(C34, " "), 1))</f>
        <v>09:49:11.316086</v>
      </c>
      <c r="E34" s="6" t="str" cm="1">
        <f t="array" ref="E34">TRIM(INDEX(_xlfn.TEXTSPLIT(C34, " "), 2))</f>
        <v>IP</v>
      </c>
      <c r="F34" s="6" t="str" cm="1">
        <f t="array" ref="F34">TRIM(INDEX(_xlfn.TEXTSPLIT(C34, " "), 3))</f>
        <v>192.168.110.9.80</v>
      </c>
      <c r="G34" s="6" t="str" cm="1">
        <f t="array" ref="G34">TRIM(INDEX(_xlfn.TEXTSPLIT(C34, " "), 4))</f>
        <v>&gt;</v>
      </c>
      <c r="H34" s="6" t="str" cm="1">
        <f t="array" ref="H34">_xlfn.LET(
    _xlpm.v, TRIM(INDEX(_xlfn.TEXTSPLIT(C34, " "), 5)),
    IF(RIGHT(_xlpm.v,1)=":", LEFT(_xlpm.v, LEN(_xlpm.v)-1), _xlpm.v)
)</f>
        <v>192.168.110.8.57092</v>
      </c>
      <c r="I34" s="6" t="str">
        <f t="shared" si="14"/>
        <v>Flags [R.]</v>
      </c>
      <c r="J34" s="6" t="str">
        <f t="shared" si="10"/>
        <v>seq 0</v>
      </c>
      <c r="K34" s="6" t="str">
        <f t="shared" si="11"/>
        <v>ack 1815191213</v>
      </c>
      <c r="L34" s="6" t="str">
        <f t="shared" si="15"/>
        <v>win 0</v>
      </c>
      <c r="M34" s="6" t="str">
        <f t="shared" si="16"/>
        <v>-</v>
      </c>
      <c r="N34" s="6" t="str">
        <f t="shared" si="17"/>
        <v>length 0</v>
      </c>
    </row>
    <row r="35" spans="1:14" x14ac:dyDescent="0.45">
      <c r="A35" s="6" t="str">
        <f t="shared" si="12"/>
        <v>lb-test⇒web-test</v>
      </c>
      <c r="B35" s="6" t="str">
        <f t="shared" si="13"/>
        <v>行き</v>
      </c>
      <c r="C35" s="6" t="s">
        <v>934</v>
      </c>
      <c r="D35" s="6" t="str" cm="1">
        <f t="array" ref="D35">TRIM(INDEX(_xlfn.TEXTSPLIT(C35, " "), 1))</f>
        <v>09:49:13.319060</v>
      </c>
      <c r="E35" s="6" t="str" cm="1">
        <f t="array" ref="E35">TRIM(INDEX(_xlfn.TEXTSPLIT(C35, " "), 2))</f>
        <v>IP</v>
      </c>
      <c r="F35" s="6" t="str" cm="1">
        <f t="array" ref="F35">TRIM(INDEX(_xlfn.TEXTSPLIT(C35, " "), 3))</f>
        <v>192.168.110.8.57104</v>
      </c>
      <c r="G35" s="6" t="str" cm="1">
        <f t="array" ref="G35">TRIM(INDEX(_xlfn.TEXTSPLIT(C35, " "), 4))</f>
        <v>&gt;</v>
      </c>
      <c r="H35" s="6" t="str" cm="1">
        <f t="array" ref="H35">_xlfn.LET(
    _xlpm.v, TRIM(INDEX(_xlfn.TEXTSPLIT(C35, " "), 5)),
    IF(RIGHT(_xlpm.v,1)=":", LEFT(_xlpm.v, LEN(_xlpm.v)-1), _xlpm.v)
)</f>
        <v>192.168.110.9.80</v>
      </c>
      <c r="I35" s="6" t="str">
        <f t="shared" si="14"/>
        <v>Flags [S]</v>
      </c>
      <c r="J35" s="6" t="str">
        <f t="shared" si="10"/>
        <v>seq 815432146</v>
      </c>
      <c r="K35" s="6" t="str">
        <f t="shared" si="11"/>
        <v>-</v>
      </c>
      <c r="L35" s="6" t="str">
        <f t="shared" si="15"/>
        <v>win 64240</v>
      </c>
      <c r="M35" s="6" t="str">
        <f t="shared" si="16"/>
        <v>options [mss 1460,sackOK,TS val 158942505 ecr 0,nop,wscale 7]</v>
      </c>
      <c r="N35" s="6" t="str">
        <f t="shared" si="17"/>
        <v>length 0</v>
      </c>
    </row>
    <row r="36" spans="1:14" x14ac:dyDescent="0.45">
      <c r="A36" s="6" t="str">
        <f t="shared" si="12"/>
        <v>web-test⇒lb-test</v>
      </c>
      <c r="B36" s="6" t="str">
        <f t="shared" si="13"/>
        <v>返り</v>
      </c>
      <c r="C36" s="6" t="s">
        <v>935</v>
      </c>
      <c r="D36" s="6" t="str" cm="1">
        <f t="array" ref="D36">TRIM(INDEX(_xlfn.TEXTSPLIT(C36, " "), 1))</f>
        <v>09:49:13.319471</v>
      </c>
      <c r="E36" s="6" t="str" cm="1">
        <f t="array" ref="E36">TRIM(INDEX(_xlfn.TEXTSPLIT(C36, " "), 2))</f>
        <v>IP</v>
      </c>
      <c r="F36" s="6" t="str" cm="1">
        <f t="array" ref="F36">TRIM(INDEX(_xlfn.TEXTSPLIT(C36, " "), 3))</f>
        <v>192.168.110.9.80</v>
      </c>
      <c r="G36" s="6" t="str" cm="1">
        <f t="array" ref="G36">TRIM(INDEX(_xlfn.TEXTSPLIT(C36, " "), 4))</f>
        <v>&gt;</v>
      </c>
      <c r="H36" s="6" t="str" cm="1">
        <f t="array" ref="H36">_xlfn.LET(
    _xlpm.v, TRIM(INDEX(_xlfn.TEXTSPLIT(C36, " "), 5)),
    IF(RIGHT(_xlpm.v,1)=":", LEFT(_xlpm.v, LEN(_xlpm.v)-1), _xlpm.v)
)</f>
        <v>192.168.110.8.57104</v>
      </c>
      <c r="I36" s="6" t="str">
        <f t="shared" si="14"/>
        <v>Flags [R.]</v>
      </c>
      <c r="J36" s="6" t="str">
        <f t="shared" si="10"/>
        <v>seq 0</v>
      </c>
      <c r="K36" s="6" t="str">
        <f t="shared" si="11"/>
        <v>ack 815432147</v>
      </c>
      <c r="L36" s="6" t="str">
        <f t="shared" si="15"/>
        <v>win 0</v>
      </c>
      <c r="M36" s="6" t="str">
        <f t="shared" si="16"/>
        <v>-</v>
      </c>
      <c r="N36" s="6" t="str">
        <f t="shared" si="17"/>
        <v>length 0</v>
      </c>
    </row>
    <row r="37" spans="1:14" x14ac:dyDescent="0.45">
      <c r="A37" s="6" t="str">
        <f t="shared" si="12"/>
        <v>lb-test⇒web-test</v>
      </c>
      <c r="B37" s="6" t="str">
        <f t="shared" si="13"/>
        <v>行き</v>
      </c>
      <c r="C37" s="6" t="s">
        <v>936</v>
      </c>
      <c r="D37" s="6" t="str" cm="1">
        <f t="array" ref="D37">TRIM(INDEX(_xlfn.TEXTSPLIT(C37, " "), 1))</f>
        <v>09:49:15.321905</v>
      </c>
      <c r="E37" s="6" t="str" cm="1">
        <f t="array" ref="E37">TRIM(INDEX(_xlfn.TEXTSPLIT(C37, " "), 2))</f>
        <v>IP</v>
      </c>
      <c r="F37" s="6" t="str" cm="1">
        <f t="array" ref="F37">TRIM(INDEX(_xlfn.TEXTSPLIT(C37, " "), 3))</f>
        <v>192.168.110.8.57108</v>
      </c>
      <c r="G37" s="6" t="str" cm="1">
        <f t="array" ref="G37">TRIM(INDEX(_xlfn.TEXTSPLIT(C37, " "), 4))</f>
        <v>&gt;</v>
      </c>
      <c r="H37" s="6" t="str" cm="1">
        <f t="array" ref="H37">_xlfn.LET(
    _xlpm.v, TRIM(INDEX(_xlfn.TEXTSPLIT(C37, " "), 5)),
    IF(RIGHT(_xlpm.v,1)=":", LEFT(_xlpm.v, LEN(_xlpm.v)-1), _xlpm.v)
)</f>
        <v>192.168.110.9.80</v>
      </c>
      <c r="I37" s="6" t="str">
        <f t="shared" si="14"/>
        <v>Flags [S]</v>
      </c>
      <c r="J37" s="6" t="str">
        <f t="shared" si="10"/>
        <v>seq 569128323</v>
      </c>
      <c r="K37" s="6" t="str">
        <f t="shared" si="11"/>
        <v>-</v>
      </c>
      <c r="L37" s="6" t="str">
        <f t="shared" si="15"/>
        <v>win 64240</v>
      </c>
      <c r="M37" s="6" t="str">
        <f t="shared" si="16"/>
        <v>options [mss 1460,sackOK,TS val 158944508 ecr 0,nop,wscale 7]</v>
      </c>
      <c r="N37" s="6" t="str">
        <f t="shared" si="17"/>
        <v>length 0</v>
      </c>
    </row>
    <row r="38" spans="1:14" x14ac:dyDescent="0.45">
      <c r="A38" s="6" t="str">
        <f t="shared" si="12"/>
        <v>web-test⇒lb-test</v>
      </c>
      <c r="B38" s="6" t="str">
        <f t="shared" si="13"/>
        <v>返り</v>
      </c>
      <c r="C38" s="6" t="s">
        <v>937</v>
      </c>
      <c r="D38" s="6" t="str" cm="1">
        <f t="array" ref="D38">TRIM(INDEX(_xlfn.TEXTSPLIT(C38, " "), 1))</f>
        <v>09:49:15.322373</v>
      </c>
      <c r="E38" s="6" t="str" cm="1">
        <f t="array" ref="E38">TRIM(INDEX(_xlfn.TEXTSPLIT(C38, " "), 2))</f>
        <v>IP</v>
      </c>
      <c r="F38" s="6" t="str" cm="1">
        <f t="array" ref="F38">TRIM(INDEX(_xlfn.TEXTSPLIT(C38, " "), 3))</f>
        <v>192.168.110.9.80</v>
      </c>
      <c r="G38" s="6" t="str" cm="1">
        <f t="array" ref="G38">TRIM(INDEX(_xlfn.TEXTSPLIT(C38, " "), 4))</f>
        <v>&gt;</v>
      </c>
      <c r="H38" s="6" t="str" cm="1">
        <f t="array" ref="H38">_xlfn.LET(
    _xlpm.v, TRIM(INDEX(_xlfn.TEXTSPLIT(C38, " "), 5)),
    IF(RIGHT(_xlpm.v,1)=":", LEFT(_xlpm.v, LEN(_xlpm.v)-1), _xlpm.v)
)</f>
        <v>192.168.110.8.57108</v>
      </c>
      <c r="I38" s="6" t="str">
        <f t="shared" si="14"/>
        <v>Flags [R.]</v>
      </c>
      <c r="J38" s="6" t="str">
        <f t="shared" ref="J38" si="18">IFERROR("seq " &amp; _xlfn.TEXTBEFORE(_xlfn.TEXTAFTER(C38,"seq "),","), "-")</f>
        <v>seq 0</v>
      </c>
      <c r="K38" s="6" t="str">
        <f t="shared" si="11"/>
        <v>ack 569128324</v>
      </c>
      <c r="L38" s="6" t="str">
        <f t="shared" si="15"/>
        <v>win 0</v>
      </c>
      <c r="M38" s="6" t="str">
        <f t="shared" si="16"/>
        <v>-</v>
      </c>
      <c r="N38" s="6" t="str">
        <f t="shared" si="17"/>
        <v>length 0</v>
      </c>
    </row>
    <row r="39" spans="1:14" x14ac:dyDescent="0.45">
      <c r="A39" s="6" t="str">
        <f t="shared" si="12"/>
        <v>lb-test⇒web-test</v>
      </c>
      <c r="B39" s="6" t="str">
        <f t="shared" si="13"/>
        <v>行き</v>
      </c>
      <c r="C39" s="6" t="s">
        <v>938</v>
      </c>
      <c r="D39" s="6" t="str" cm="1">
        <f t="array" ref="D39">TRIM(INDEX(_xlfn.TEXTSPLIT(C39, " "), 1))</f>
        <v>09:49:17.326127</v>
      </c>
      <c r="E39" s="6" t="str" cm="1">
        <f t="array" ref="E39">TRIM(INDEX(_xlfn.TEXTSPLIT(C39, " "), 2))</f>
        <v>IP</v>
      </c>
      <c r="F39" s="6" t="str" cm="1">
        <f t="array" ref="F39">TRIM(INDEX(_xlfn.TEXTSPLIT(C39, " "), 3))</f>
        <v>192.168.110.8.57110</v>
      </c>
      <c r="G39" s="6" t="str" cm="1">
        <f t="array" ref="G39">TRIM(INDEX(_xlfn.TEXTSPLIT(C39, " "), 4))</f>
        <v>&gt;</v>
      </c>
      <c r="H39" s="6" t="str" cm="1">
        <f t="array" ref="H39">_xlfn.LET(
    _xlpm.v, TRIM(INDEX(_xlfn.TEXTSPLIT(C39, " "), 5)),
    IF(RIGHT(_xlpm.v,1)=":", LEFT(_xlpm.v, LEN(_xlpm.v)-1), _xlpm.v)
)</f>
        <v>192.168.110.9.80</v>
      </c>
      <c r="I39" s="6" t="str">
        <f t="shared" si="14"/>
        <v>Flags [S]</v>
      </c>
      <c r="J39" s="6" t="str">
        <f>IFERROR("seq " &amp; _xlfn.TEXTBEFORE(_xlfn.TEXTAFTER(C39,"seq "),","), "-")</f>
        <v>seq 3833364019</v>
      </c>
      <c r="K39" s="6" t="str">
        <f t="shared" si="11"/>
        <v>-</v>
      </c>
      <c r="L39" s="6" t="str">
        <f t="shared" si="15"/>
        <v>win 64240</v>
      </c>
      <c r="M39" s="6" t="str">
        <f t="shared" si="16"/>
        <v>options [mss 1460,sackOK,TS val 158946512 ecr 0,nop,wscale 7]</v>
      </c>
      <c r="N39" s="6" t="str">
        <f t="shared" si="17"/>
        <v>length 0</v>
      </c>
    </row>
    <row r="40" spans="1:14" x14ac:dyDescent="0.45">
      <c r="A40" s="6" t="str">
        <f t="shared" si="12"/>
        <v>web-test⇒lb-test</v>
      </c>
      <c r="B40" s="6" t="str">
        <f t="shared" si="13"/>
        <v>返り</v>
      </c>
      <c r="C40" s="6" t="s">
        <v>939</v>
      </c>
      <c r="D40" s="6" t="str" cm="1">
        <f t="array" ref="D40">TRIM(INDEX(_xlfn.TEXTSPLIT(C40, " "), 1))</f>
        <v>09:49:17.326712</v>
      </c>
      <c r="E40" s="6" t="str" cm="1">
        <f t="array" ref="E40">TRIM(INDEX(_xlfn.TEXTSPLIT(C40, " "), 2))</f>
        <v>IP</v>
      </c>
      <c r="F40" s="6" t="str" cm="1">
        <f t="array" ref="F40">TRIM(INDEX(_xlfn.TEXTSPLIT(C40, " "), 3))</f>
        <v>192.168.110.9.80</v>
      </c>
      <c r="G40" s="6" t="str" cm="1">
        <f t="array" ref="G40">TRIM(INDEX(_xlfn.TEXTSPLIT(C40, " "), 4))</f>
        <v>&gt;</v>
      </c>
      <c r="H40" s="6" t="str" cm="1">
        <f t="array" ref="H40">_xlfn.LET(
    _xlpm.v, TRIM(INDEX(_xlfn.TEXTSPLIT(C40, " "), 5)),
    IF(RIGHT(_xlpm.v,1)=":", LEFT(_xlpm.v, LEN(_xlpm.v)-1), _xlpm.v)
)</f>
        <v>192.168.110.8.57110</v>
      </c>
      <c r="I40" s="6" t="str">
        <f t="shared" si="14"/>
        <v>Flags [R.]</v>
      </c>
      <c r="J40" s="6" t="str">
        <f t="shared" ref="J40" si="19">IFERROR("seq " &amp; _xlfn.TEXTBEFORE(_xlfn.TEXTAFTER(C40,"seq "),","), "-")</f>
        <v>seq 0</v>
      </c>
      <c r="K40" s="6" t="str">
        <f t="shared" si="11"/>
        <v>ack 3833364020</v>
      </c>
      <c r="L40" s="6" t="str">
        <f t="shared" si="15"/>
        <v>win 0</v>
      </c>
      <c r="M40" s="6" t="str">
        <f t="shared" si="16"/>
        <v>-</v>
      </c>
      <c r="N40" s="6" t="str">
        <f t="shared" si="17"/>
        <v>length 0</v>
      </c>
    </row>
    <row r="41" spans="1:14" x14ac:dyDescent="0.45">
      <c r="A41" s="4" t="s">
        <v>48</v>
      </c>
    </row>
    <row r="43" spans="1:14" x14ac:dyDescent="0.45">
      <c r="A43" s="12" t="s">
        <v>872</v>
      </c>
    </row>
    <row r="44" spans="1:14" x14ac:dyDescent="0.45">
      <c r="A44" s="4" t="s">
        <v>856</v>
      </c>
    </row>
    <row r="45" spans="1:14" x14ac:dyDescent="0.45">
      <c r="A45" s="4" t="s">
        <v>877</v>
      </c>
    </row>
    <row r="46" spans="1:14" x14ac:dyDescent="0.45">
      <c r="A46" s="4" t="s">
        <v>35</v>
      </c>
    </row>
    <row r="47" spans="1:14" x14ac:dyDescent="0.45">
      <c r="A47" s="4" t="s">
        <v>36</v>
      </c>
    </row>
    <row r="48" spans="1:14" x14ac:dyDescent="0.45">
      <c r="A48" s="4" t="s">
        <v>32</v>
      </c>
    </row>
    <row r="49" spans="1:1" x14ac:dyDescent="0.45">
      <c r="A49" s="23" t="s">
        <v>878</v>
      </c>
    </row>
    <row r="50" spans="1:1" x14ac:dyDescent="0.45">
      <c r="A50" s="23" t="s">
        <v>879</v>
      </c>
    </row>
    <row r="51" spans="1:1" x14ac:dyDescent="0.45">
      <c r="A51" s="23" t="s">
        <v>880</v>
      </c>
    </row>
    <row r="52" spans="1:1" x14ac:dyDescent="0.45">
      <c r="A52" s="23" t="s">
        <v>881</v>
      </c>
    </row>
    <row r="53" spans="1:1" x14ac:dyDescent="0.45">
      <c r="A53" s="23" t="s">
        <v>882</v>
      </c>
    </row>
    <row r="54" spans="1:1" x14ac:dyDescent="0.45">
      <c r="A54" s="23" t="s">
        <v>883</v>
      </c>
    </row>
    <row r="55" spans="1:1" x14ac:dyDescent="0.45">
      <c r="A55" s="23" t="s">
        <v>884</v>
      </c>
    </row>
    <row r="56" spans="1:1" x14ac:dyDescent="0.45">
      <c r="A56" s="23" t="s">
        <v>885</v>
      </c>
    </row>
    <row r="57" spans="1:1" x14ac:dyDescent="0.45">
      <c r="A57" s="23" t="s">
        <v>886</v>
      </c>
    </row>
    <row r="58" spans="1:1" x14ac:dyDescent="0.45">
      <c r="A58" s="23" t="s">
        <v>887</v>
      </c>
    </row>
    <row r="59" spans="1:1" x14ac:dyDescent="0.45">
      <c r="A59" s="23" t="s">
        <v>888</v>
      </c>
    </row>
    <row r="60" spans="1:1" x14ac:dyDescent="0.45">
      <c r="A60" s="23" t="s">
        <v>889</v>
      </c>
    </row>
    <row r="61" spans="1:1" x14ac:dyDescent="0.45">
      <c r="A61" s="23" t="s">
        <v>890</v>
      </c>
    </row>
    <row r="62" spans="1:1" x14ac:dyDescent="0.45">
      <c r="A62" s="23" t="s">
        <v>891</v>
      </c>
    </row>
    <row r="63" spans="1:1" x14ac:dyDescent="0.45">
      <c r="A63" s="23" t="s">
        <v>892</v>
      </c>
    </row>
    <row r="64" spans="1:1" x14ac:dyDescent="0.45">
      <c r="A64" s="23" t="s">
        <v>893</v>
      </c>
    </row>
    <row r="65" spans="1:1" x14ac:dyDescent="0.45">
      <c r="A65" s="23" t="s">
        <v>894</v>
      </c>
    </row>
    <row r="66" spans="1:1" x14ac:dyDescent="0.45">
      <c r="A66" s="23" t="s">
        <v>895</v>
      </c>
    </row>
    <row r="67" spans="1:1" x14ac:dyDescent="0.45">
      <c r="A67" s="23" t="s">
        <v>896</v>
      </c>
    </row>
    <row r="68" spans="1:1" x14ac:dyDescent="0.45">
      <c r="A68" s="23" t="s">
        <v>897</v>
      </c>
    </row>
    <row r="69" spans="1:1" x14ac:dyDescent="0.45">
      <c r="A69" s="4" t="s">
        <v>898</v>
      </c>
    </row>
    <row r="71" spans="1:1" x14ac:dyDescent="0.45">
      <c r="A71" s="4" t="s">
        <v>899</v>
      </c>
    </row>
    <row r="72" spans="1:1" x14ac:dyDescent="0.45">
      <c r="A72" s="4" t="s">
        <v>900</v>
      </c>
    </row>
    <row r="73" spans="1:1" x14ac:dyDescent="0.45">
      <c r="A73" s="4" t="s">
        <v>38</v>
      </c>
    </row>
    <row r="74" spans="1:1" x14ac:dyDescent="0.45">
      <c r="A74" s="4" t="s">
        <v>552</v>
      </c>
    </row>
    <row r="76" spans="1:1" x14ac:dyDescent="0.45">
      <c r="A76" s="12" t="s">
        <v>857</v>
      </c>
    </row>
    <row r="77" spans="1:1" x14ac:dyDescent="0.45">
      <c r="A77" s="73" t="s">
        <v>858</v>
      </c>
    </row>
    <row r="78" spans="1:1" x14ac:dyDescent="0.45">
      <c r="A78" s="73" t="s">
        <v>901</v>
      </c>
    </row>
    <row r="79" spans="1:1" x14ac:dyDescent="0.45">
      <c r="A79" s="73" t="s">
        <v>902</v>
      </c>
    </row>
    <row r="80" spans="1:1" x14ac:dyDescent="0.45">
      <c r="A80" s="73" t="s">
        <v>903</v>
      </c>
    </row>
    <row r="81" spans="1:1" x14ac:dyDescent="0.45">
      <c r="A81" s="73" t="s">
        <v>904</v>
      </c>
    </row>
    <row r="82" spans="1:1" x14ac:dyDescent="0.45">
      <c r="A82" s="73" t="s">
        <v>905</v>
      </c>
    </row>
    <row r="83" spans="1:1" x14ac:dyDescent="0.45">
      <c r="A83" s="73" t="s">
        <v>906</v>
      </c>
    </row>
    <row r="84" spans="1:1" x14ac:dyDescent="0.45">
      <c r="A84" s="73" t="s">
        <v>858</v>
      </c>
    </row>
    <row r="86" spans="1:1" x14ac:dyDescent="0.45">
      <c r="A86" s="12" t="s">
        <v>873</v>
      </c>
    </row>
    <row r="87" spans="1:1" x14ac:dyDescent="0.45">
      <c r="A87" s="4" t="s">
        <v>859</v>
      </c>
    </row>
    <row r="88" spans="1:1" x14ac:dyDescent="0.45">
      <c r="A88" s="4" t="s">
        <v>860</v>
      </c>
    </row>
    <row r="89" spans="1:1" x14ac:dyDescent="0.45">
      <c r="A89" s="4" t="s">
        <v>35</v>
      </c>
    </row>
    <row r="90" spans="1:1" x14ac:dyDescent="0.45">
      <c r="A90" s="4" t="s">
        <v>36</v>
      </c>
    </row>
    <row r="91" spans="1:1" x14ac:dyDescent="0.45">
      <c r="A91" s="4" t="s">
        <v>32</v>
      </c>
    </row>
    <row r="92" spans="1:1" x14ac:dyDescent="0.45">
      <c r="A92" s="23" t="s">
        <v>861</v>
      </c>
    </row>
    <row r="93" spans="1:1" x14ac:dyDescent="0.45">
      <c r="A93" s="23" t="s">
        <v>862</v>
      </c>
    </row>
    <row r="94" spans="1:1" x14ac:dyDescent="0.45">
      <c r="A94" s="23" t="s">
        <v>863</v>
      </c>
    </row>
    <row r="95" spans="1:1" x14ac:dyDescent="0.45">
      <c r="A95" s="23" t="s">
        <v>864</v>
      </c>
    </row>
    <row r="96" spans="1:1" x14ac:dyDescent="0.45">
      <c r="A96" s="23" t="s">
        <v>865</v>
      </c>
    </row>
    <row r="97" spans="1:1" x14ac:dyDescent="0.45">
      <c r="A97" s="23" t="s">
        <v>866</v>
      </c>
    </row>
    <row r="98" spans="1:1" x14ac:dyDescent="0.45">
      <c r="A98" s="23" t="s">
        <v>867</v>
      </c>
    </row>
    <row r="99" spans="1:1" x14ac:dyDescent="0.45">
      <c r="A99" s="23" t="s">
        <v>868</v>
      </c>
    </row>
    <row r="100" spans="1:1" x14ac:dyDescent="0.45">
      <c r="A100" s="23" t="s">
        <v>869</v>
      </c>
    </row>
    <row r="101" spans="1:1" x14ac:dyDescent="0.45">
      <c r="A101" s="23" t="s">
        <v>870</v>
      </c>
    </row>
    <row r="102" spans="1:1" x14ac:dyDescent="0.45">
      <c r="A102" s="4" t="s">
        <v>871</v>
      </c>
    </row>
    <row r="104" spans="1:1" x14ac:dyDescent="0.45">
      <c r="A104" s="4" t="s">
        <v>162</v>
      </c>
    </row>
    <row r="105" spans="1:1" x14ac:dyDescent="0.45">
      <c r="A105" s="4" t="s">
        <v>163</v>
      </c>
    </row>
    <row r="106" spans="1:1" x14ac:dyDescent="0.45">
      <c r="A106" s="4" t="s">
        <v>38</v>
      </c>
    </row>
    <row r="107" spans="1:1" x14ac:dyDescent="0.45">
      <c r="A107" s="4" t="s">
        <v>552</v>
      </c>
    </row>
    <row r="108" spans="1:1" x14ac:dyDescent="0.45">
      <c r="A108" s="4" t="s">
        <v>552</v>
      </c>
    </row>
    <row r="110" spans="1:1" x14ac:dyDescent="0.45">
      <c r="A110" s="12" t="s">
        <v>874</v>
      </c>
    </row>
    <row r="111" spans="1:1" x14ac:dyDescent="0.45">
      <c r="A111" s="4" t="s">
        <v>875</v>
      </c>
    </row>
    <row r="131" spans="1:1" x14ac:dyDescent="0.45">
      <c r="A131" s="12"/>
    </row>
    <row r="195" spans="1:1" x14ac:dyDescent="0.45">
      <c r="A195" s="12"/>
    </row>
    <row r="258" spans="1:1" x14ac:dyDescent="0.45">
      <c r="A258" s="12"/>
    </row>
  </sheetData>
  <phoneticPr fontId="1"/>
  <conditionalFormatting sqref="A5:N25 A30:N40">
    <cfRule type="expression" dxfId="7" priority="3">
      <formula>$B5="返り"</formula>
    </cfRule>
    <cfRule type="expression" dxfId="6" priority="4">
      <formula>$B5="行き"</formula>
    </cfRule>
  </conditionalFormatting>
  <hyperlinks>
    <hyperlink ref="A1" location="通信要件一覧!A1" display="※「通信要件一覧」シートに戻る" xr:uid="{E77AB383-CC5D-4512-9295-9325A4BF56EA}"/>
  </hyperlinks>
  <pageMargins left="0.7" right="0.7" top="0.75" bottom="0.75" header="0.3" footer="0.3"/>
  <pageSetup paperSize="9" scale="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709E-CE9D-41DF-8B83-7227C05B7B05}">
  <dimension ref="A1:N223"/>
  <sheetViews>
    <sheetView view="pageBreakPreview" zoomScale="70" zoomScaleNormal="100" zoomScaleSheetLayoutView="70" workbookViewId="0"/>
  </sheetViews>
  <sheetFormatPr defaultRowHeight="15.75" x14ac:dyDescent="0.45"/>
  <cols>
    <col min="1" max="1" width="10.6640625" style="4" customWidth="1"/>
    <col min="2" max="2" width="8.21875" style="4" bestFit="1" customWidth="1"/>
    <col min="3" max="3" width="13.109375" style="4" customWidth="1"/>
    <col min="4" max="4" width="16" style="4" bestFit="1" customWidth="1"/>
    <col min="5" max="5" width="12.109375" style="4" bestFit="1" customWidth="1"/>
    <col min="6" max="6" width="18" style="4" customWidth="1"/>
    <col min="7" max="7" width="8.21875" style="4" bestFit="1" customWidth="1"/>
    <col min="8" max="8" width="19.6640625" style="4" bestFit="1" customWidth="1"/>
    <col min="9" max="9" width="15.44140625" style="4" bestFit="1" customWidth="1"/>
    <col min="10" max="10" width="16.77734375" style="4" bestFit="1" customWidth="1"/>
    <col min="11" max="11" width="14.21875" style="4" bestFit="1" customWidth="1"/>
    <col min="12" max="12" width="12.33203125" style="4" bestFit="1" customWidth="1"/>
    <col min="13" max="13" width="61.5546875" style="4" customWidth="1"/>
    <col min="14" max="14" width="37.6640625" style="4" bestFit="1" customWidth="1"/>
    <col min="15" max="16384" width="8.88671875" style="4"/>
  </cols>
  <sheetData>
    <row r="1" spans="1:14" x14ac:dyDescent="0.45">
      <c r="A1" s="9" t="s">
        <v>56</v>
      </c>
    </row>
    <row r="2" spans="1:14" x14ac:dyDescent="0.45">
      <c r="A2" s="12" t="s">
        <v>93</v>
      </c>
    </row>
    <row r="3" spans="1:14" x14ac:dyDescent="0.45">
      <c r="A3" s="12" t="s">
        <v>398</v>
      </c>
    </row>
    <row r="4" spans="1:14" x14ac:dyDescent="0.45">
      <c r="A4" s="12" t="s">
        <v>399</v>
      </c>
    </row>
    <row r="5" spans="1:14" x14ac:dyDescent="0.45">
      <c r="A5" s="68" t="s">
        <v>297</v>
      </c>
      <c r="B5" s="68" t="s">
        <v>92</v>
      </c>
      <c r="C5" s="68" t="s">
        <v>91</v>
      </c>
      <c r="D5" s="68" t="s">
        <v>30</v>
      </c>
      <c r="E5" s="68" t="s">
        <v>31</v>
      </c>
      <c r="F5" s="68" t="s">
        <v>122</v>
      </c>
      <c r="G5" s="68" t="s">
        <v>33</v>
      </c>
      <c r="H5" s="68" t="s">
        <v>123</v>
      </c>
      <c r="I5" s="68" t="s">
        <v>157</v>
      </c>
      <c r="J5" s="68" t="s">
        <v>158</v>
      </c>
      <c r="K5" s="68" t="s">
        <v>159</v>
      </c>
      <c r="L5" s="68" t="s">
        <v>160</v>
      </c>
      <c r="M5" s="68" t="s">
        <v>161</v>
      </c>
      <c r="N5" s="68" t="s">
        <v>34</v>
      </c>
    </row>
    <row r="6" spans="1:14" x14ac:dyDescent="0.45">
      <c r="A6" s="6" t="str">
        <f>IF(B6="行き","web-test⇒ap-test",IF(B6="返り","ap-test⇒web-test",""))</f>
        <v>web-test⇒ap-test</v>
      </c>
      <c r="B6" s="6" t="str">
        <f t="shared" ref="B6:B15" si="0">IF(F6="192.168.110.10.8080","返り","行き")</f>
        <v>行き</v>
      </c>
      <c r="C6" s="6" t="s">
        <v>955</v>
      </c>
      <c r="D6" s="6" t="str" cm="1">
        <f t="array" ref="D6">TRIM(INDEX(_xlfn.TEXTSPLIT(C6, " "), 1))</f>
        <v>19:56:16.100239</v>
      </c>
      <c r="E6" s="6" t="str" cm="1">
        <f t="array" ref="E6">TRIM(INDEX(_xlfn.TEXTSPLIT(C6, " "), 2))</f>
        <v>IP</v>
      </c>
      <c r="F6" s="6" t="str" cm="1">
        <f t="array" ref="F6">TRIM(INDEX(_xlfn.TEXTSPLIT(C6, " "), 3))</f>
        <v>192.168.110.9.44914</v>
      </c>
      <c r="G6" s="6" t="str" cm="1">
        <f t="array" ref="G6">TRIM(INDEX(_xlfn.TEXTSPLIT(C6, " "), 4))</f>
        <v>&gt;</v>
      </c>
      <c r="H6" s="6" t="str" cm="1">
        <f t="array" ref="H6">_xlfn.LET(
    _xlpm.v, TRIM(INDEX(_xlfn.TEXTSPLIT(C6, " "), 5)),
    IF(RIGHT(_xlpm.v,1)=":", LEFT(_xlpm.v, LEN(_xlpm.v)-1), _xlpm.v)
)</f>
        <v>192.168.110.10.8080</v>
      </c>
      <c r="I6" s="6" t="str">
        <f>"Flags [" &amp; _xlfn.TEXTBEFORE(_xlfn.TEXTAFTER(C6,"Flags ["),"]") &amp; "]"</f>
        <v>Flags [S]</v>
      </c>
      <c r="J6" s="6" t="str">
        <f t="shared" ref="J6:J12" si="1">IFERROR("seq " &amp; _xlfn.TEXTBEFORE(_xlfn.TEXTAFTER(C6,"seq "),","), "-")</f>
        <v>seq 881588604</v>
      </c>
      <c r="K6" s="6" t="str">
        <f t="shared" ref="K6:K15" si="2">IFERROR("ack " &amp; _xlfn.TEXTBEFORE(_xlfn.TEXTAFTER(C6,"ack "),","), "-")</f>
        <v>-</v>
      </c>
      <c r="L6" s="6" t="str">
        <f>IFERROR("win " &amp; _xlfn.TEXTBEFORE(_xlfn.TEXTAFTER(C6,"win "),","), "-")</f>
        <v>win 64240</v>
      </c>
      <c r="M6" s="6" t="str">
        <f>IFERROR("options [" &amp; _xlfn.TEXTBEFORE(_xlfn.TEXTAFTER(C6,"options ["),"]") &amp; "]","-")</f>
        <v>options [mss 1460,sackOK,TS val 2622208993 ecr 0,nop,wscale 7]</v>
      </c>
      <c r="N6" s="6" t="str">
        <f>TRIM(MID(C6, FIND("length ", C6), LEN(C6) - FIND("length ", C6) + 1))</f>
        <v>length 0</v>
      </c>
    </row>
    <row r="7" spans="1:14" x14ac:dyDescent="0.45">
      <c r="A7" s="6" t="str">
        <f t="shared" ref="A7:A15" si="3">IF(B7="行き","web-test⇒ap-test",IF(B7="返り","ap-test⇒web-test",""))</f>
        <v>ap-test⇒web-test</v>
      </c>
      <c r="B7" s="6" t="str">
        <f t="shared" si="0"/>
        <v>返り</v>
      </c>
      <c r="C7" s="6" t="s">
        <v>943</v>
      </c>
      <c r="D7" s="6" t="str" cm="1">
        <f t="array" ref="D7">TRIM(INDEX(_xlfn.TEXTSPLIT(C7, " "), 1))</f>
        <v>19:56:16.100297</v>
      </c>
      <c r="E7" s="6" t="str" cm="1">
        <f t="array" ref="E7">TRIM(INDEX(_xlfn.TEXTSPLIT(C7, " "), 2))</f>
        <v>IP</v>
      </c>
      <c r="F7" s="6" t="str" cm="1">
        <f t="array" ref="F7">TRIM(INDEX(_xlfn.TEXTSPLIT(C7, " "), 3))</f>
        <v>192.168.110.10.8080</v>
      </c>
      <c r="G7" s="6" t="str" cm="1">
        <f t="array" ref="G7">TRIM(INDEX(_xlfn.TEXTSPLIT(C7, " "), 4))</f>
        <v>&gt;</v>
      </c>
      <c r="H7" s="6" t="str" cm="1">
        <f t="array" ref="H7">_xlfn.LET(
    _xlpm.v, TRIM(INDEX(_xlfn.TEXTSPLIT(C7, " "), 5)),
    IF(RIGHT(_xlpm.v,1)=":", LEFT(_xlpm.v, LEN(_xlpm.v)-1), _xlpm.v)
)</f>
        <v>192.168.110.9.44914</v>
      </c>
      <c r="I7" s="6" t="str">
        <f t="shared" ref="I7:I15" si="4">"Flags [" &amp; _xlfn.TEXTBEFORE(_xlfn.TEXTAFTER(C7,"Flags ["),"]") &amp; "]"</f>
        <v>Flags [S.]</v>
      </c>
      <c r="J7" s="6" t="str">
        <f t="shared" si="1"/>
        <v>seq 737748175</v>
      </c>
      <c r="K7" s="6" t="str">
        <f t="shared" si="2"/>
        <v>ack 881588605</v>
      </c>
      <c r="L7" s="6" t="str">
        <f t="shared" ref="L7:L15" si="5">IFERROR("win " &amp; _xlfn.TEXTBEFORE(_xlfn.TEXTAFTER(C7,"win "),","), "-")</f>
        <v>win 65160</v>
      </c>
      <c r="M7" s="6" t="str">
        <f t="shared" ref="M7:M15" si="6">IFERROR("options [" &amp; _xlfn.TEXTBEFORE(_xlfn.TEXTAFTER(C7,"options ["),"]") &amp; "]","-")</f>
        <v>options [mss 1460,sackOK,TS val 2375460092 ecr 2622208993,nop,wscale 7]</v>
      </c>
      <c r="N7" s="6" t="str">
        <f t="shared" ref="N7:N15" si="7">TRIM(MID(C7, FIND("length ", C7), LEN(C7) - FIND("length ", C7) + 1))</f>
        <v>length 0</v>
      </c>
    </row>
    <row r="8" spans="1:14" x14ac:dyDescent="0.45">
      <c r="A8" s="6" t="str">
        <f t="shared" si="3"/>
        <v>web-test⇒ap-test</v>
      </c>
      <c r="B8" s="6" t="str">
        <f t="shared" si="0"/>
        <v>行き</v>
      </c>
      <c r="C8" s="6" t="s">
        <v>944</v>
      </c>
      <c r="D8" s="6" t="str" cm="1">
        <f t="array" ref="D8">TRIM(INDEX(_xlfn.TEXTSPLIT(C8, " "), 1))</f>
        <v>19:56:16.100545</v>
      </c>
      <c r="E8" s="6" t="str" cm="1">
        <f t="array" ref="E8">TRIM(INDEX(_xlfn.TEXTSPLIT(C8, " "), 2))</f>
        <v>IP</v>
      </c>
      <c r="F8" s="6" t="str" cm="1">
        <f t="array" ref="F8">TRIM(INDEX(_xlfn.TEXTSPLIT(C8, " "), 3))</f>
        <v>192.168.110.9.44914</v>
      </c>
      <c r="G8" s="6" t="str" cm="1">
        <f t="array" ref="G8">TRIM(INDEX(_xlfn.TEXTSPLIT(C8, " "), 4))</f>
        <v>&gt;</v>
      </c>
      <c r="H8" s="6" t="str" cm="1">
        <f t="array" ref="H8">_xlfn.LET(
    _xlpm.v, TRIM(INDEX(_xlfn.TEXTSPLIT(C8, " "), 5)),
    IF(RIGHT(_xlpm.v,1)=":", LEFT(_xlpm.v, LEN(_xlpm.v)-1), _xlpm.v)
)</f>
        <v>192.168.110.10.8080</v>
      </c>
      <c r="I8" s="6" t="str">
        <f t="shared" si="4"/>
        <v>Flags [.]</v>
      </c>
      <c r="J8" s="6" t="str">
        <f t="shared" si="1"/>
        <v>-</v>
      </c>
      <c r="K8" s="6" t="str">
        <f t="shared" si="2"/>
        <v>ack 1</v>
      </c>
      <c r="L8" s="6" t="str">
        <f t="shared" si="5"/>
        <v>win 502</v>
      </c>
      <c r="M8" s="6" t="str">
        <f t="shared" si="6"/>
        <v>options [nop,nop,TS val 2622208994 ecr 2375460092]</v>
      </c>
      <c r="N8" s="6" t="str">
        <f t="shared" si="7"/>
        <v>length 0</v>
      </c>
    </row>
    <row r="9" spans="1:14" x14ac:dyDescent="0.45">
      <c r="A9" s="6" t="str">
        <f t="shared" si="3"/>
        <v>web-test⇒ap-test</v>
      </c>
      <c r="B9" s="6" t="str">
        <f t="shared" si="0"/>
        <v>行き</v>
      </c>
      <c r="C9" s="6" t="s">
        <v>945</v>
      </c>
      <c r="D9" s="6" t="str" cm="1">
        <f t="array" ref="D9">TRIM(INDEX(_xlfn.TEXTSPLIT(C9, " "), 1))</f>
        <v>19:56:16.100690</v>
      </c>
      <c r="E9" s="6" t="str" cm="1">
        <f t="array" ref="E9">TRIM(INDEX(_xlfn.TEXTSPLIT(C9, " "), 2))</f>
        <v>IP</v>
      </c>
      <c r="F9" s="6" t="str" cm="1">
        <f t="array" ref="F9">TRIM(INDEX(_xlfn.TEXTSPLIT(C9, " "), 3))</f>
        <v>192.168.110.9.44914</v>
      </c>
      <c r="G9" s="6" t="str" cm="1">
        <f t="array" ref="G9">TRIM(INDEX(_xlfn.TEXTSPLIT(C9, " "), 4))</f>
        <v>&gt;</v>
      </c>
      <c r="H9" s="6" t="str" cm="1">
        <f t="array" ref="H9">_xlfn.LET(
    _xlpm.v, TRIM(INDEX(_xlfn.TEXTSPLIT(C9, " "), 5)),
    IF(RIGHT(_xlpm.v,1)=":", LEFT(_xlpm.v, LEN(_xlpm.v)-1), _xlpm.v)
)</f>
        <v>192.168.110.10.8080</v>
      </c>
      <c r="I9" s="6" t="str">
        <f t="shared" si="4"/>
        <v>Flags [P.]</v>
      </c>
      <c r="J9" s="6" t="str">
        <f t="shared" si="1"/>
        <v>seq 1:195</v>
      </c>
      <c r="K9" s="6" t="str">
        <f t="shared" si="2"/>
        <v>ack 1</v>
      </c>
      <c r="L9" s="6" t="str">
        <f t="shared" si="5"/>
        <v>win 502</v>
      </c>
      <c r="M9" s="6" t="str">
        <f t="shared" si="6"/>
        <v>options [nop,nop,TS val 2622208994 ecr 2375460092]</v>
      </c>
      <c r="N9" s="6" t="str">
        <f t="shared" si="7"/>
        <v>length 194: HTTP: GET /health HTTP/1.0</v>
      </c>
    </row>
    <row r="10" spans="1:14" x14ac:dyDescent="0.45">
      <c r="A10" s="6" t="str">
        <f t="shared" si="3"/>
        <v>ap-test⇒web-test</v>
      </c>
      <c r="B10" s="6" t="str">
        <f t="shared" si="0"/>
        <v>返り</v>
      </c>
      <c r="C10" s="6" t="s">
        <v>946</v>
      </c>
      <c r="D10" s="6" t="str" cm="1">
        <f t="array" ref="D10">TRIM(INDEX(_xlfn.TEXTSPLIT(C10, " "), 1))</f>
        <v>19:56:16.100702</v>
      </c>
      <c r="E10" s="6" t="str" cm="1">
        <f t="array" ref="E10">TRIM(INDEX(_xlfn.TEXTSPLIT(C10, " "), 2))</f>
        <v>IP</v>
      </c>
      <c r="F10" s="6" t="str" cm="1">
        <f t="array" ref="F10">TRIM(INDEX(_xlfn.TEXTSPLIT(C10, " "), 3))</f>
        <v>192.168.110.10.8080</v>
      </c>
      <c r="G10" s="6" t="str" cm="1">
        <f t="array" ref="G10">TRIM(INDEX(_xlfn.TEXTSPLIT(C10, " "), 4))</f>
        <v>&gt;</v>
      </c>
      <c r="H10" s="6" t="str" cm="1">
        <f t="array" ref="H10">_xlfn.LET(
    _xlpm.v, TRIM(INDEX(_xlfn.TEXTSPLIT(C10, " "), 5)),
    IF(RIGHT(_xlpm.v,1)=":", LEFT(_xlpm.v, LEN(_xlpm.v)-1), _xlpm.v)
)</f>
        <v>192.168.110.9.44914</v>
      </c>
      <c r="I10" s="6" t="str">
        <f t="shared" si="4"/>
        <v>Flags [.]</v>
      </c>
      <c r="J10" s="6" t="str">
        <f t="shared" si="1"/>
        <v>-</v>
      </c>
      <c r="K10" s="6" t="str">
        <f t="shared" si="2"/>
        <v>ack 195</v>
      </c>
      <c r="L10" s="6" t="str">
        <f t="shared" si="5"/>
        <v>win 508</v>
      </c>
      <c r="M10" s="6" t="str">
        <f t="shared" si="6"/>
        <v>options [nop,nop,TS val 2375460093 ecr 2622208994]</v>
      </c>
      <c r="N10" s="6" t="str">
        <f t="shared" si="7"/>
        <v>length 0</v>
      </c>
    </row>
    <row r="11" spans="1:14" x14ac:dyDescent="0.45">
      <c r="A11" s="6" t="str">
        <f t="shared" si="3"/>
        <v>ap-test⇒web-test</v>
      </c>
      <c r="B11" s="6" t="str">
        <f t="shared" si="0"/>
        <v>返り</v>
      </c>
      <c r="C11" s="6" t="s">
        <v>947</v>
      </c>
      <c r="D11" s="6" t="str" cm="1">
        <f t="array" ref="D11">TRIM(INDEX(_xlfn.TEXTSPLIT(C11, " "), 1))</f>
        <v>19:56:16.216104</v>
      </c>
      <c r="E11" s="6" t="str" cm="1">
        <f t="array" ref="E11">TRIM(INDEX(_xlfn.TEXTSPLIT(C11, " "), 2))</f>
        <v>IP</v>
      </c>
      <c r="F11" s="6" t="str" cm="1">
        <f t="array" ref="F11">TRIM(INDEX(_xlfn.TEXTSPLIT(C11, " "), 3))</f>
        <v>192.168.110.10.8080</v>
      </c>
      <c r="G11" s="6" t="str" cm="1">
        <f t="array" ref="G11">TRIM(INDEX(_xlfn.TEXTSPLIT(C11, " "), 4))</f>
        <v>&gt;</v>
      </c>
      <c r="H11" s="6" t="str" cm="1">
        <f t="array" ref="H11">_xlfn.LET(
    _xlpm.v, TRIM(INDEX(_xlfn.TEXTSPLIT(C11, " "), 5)),
    IF(RIGHT(_xlpm.v,1)=":", LEFT(_xlpm.v, LEN(_xlpm.v)-1), _xlpm.v)
)</f>
        <v>192.168.110.9.44914</v>
      </c>
      <c r="I11" s="6" t="str">
        <f t="shared" si="4"/>
        <v>Flags [P.]</v>
      </c>
      <c r="J11" s="6" t="str">
        <f t="shared" si="1"/>
        <v>seq 1:160</v>
      </c>
      <c r="K11" s="6" t="str">
        <f t="shared" si="2"/>
        <v>ack 195</v>
      </c>
      <c r="L11" s="6" t="str">
        <f t="shared" si="5"/>
        <v>win 508</v>
      </c>
      <c r="M11" s="6" t="str">
        <f t="shared" si="6"/>
        <v>options [nop,nop,TS val 2375460208 ecr 2622208994]</v>
      </c>
      <c r="N11" s="6" t="str">
        <f t="shared" si="7"/>
        <v>length 159: HTTP: HTTP/1.1 200 OK</v>
      </c>
    </row>
    <row r="12" spans="1:14" x14ac:dyDescent="0.45">
      <c r="A12" s="6" t="str">
        <f t="shared" si="3"/>
        <v>ap-test⇒web-test</v>
      </c>
      <c r="B12" s="6" t="str">
        <f t="shared" si="0"/>
        <v>返り</v>
      </c>
      <c r="C12" s="6" t="s">
        <v>948</v>
      </c>
      <c r="D12" s="6" t="str" cm="1">
        <f t="array" ref="D12">TRIM(INDEX(_xlfn.TEXTSPLIT(C12, " "), 1))</f>
        <v>19:56:16.216168</v>
      </c>
      <c r="E12" s="6" t="str" cm="1">
        <f t="array" ref="E12">TRIM(INDEX(_xlfn.TEXTSPLIT(C12, " "), 2))</f>
        <v>IP</v>
      </c>
      <c r="F12" s="6" t="str" cm="1">
        <f t="array" ref="F12">TRIM(INDEX(_xlfn.TEXTSPLIT(C12, " "), 3))</f>
        <v>192.168.110.10.8080</v>
      </c>
      <c r="G12" s="6" t="str" cm="1">
        <f t="array" ref="G12">TRIM(INDEX(_xlfn.TEXTSPLIT(C12, " "), 4))</f>
        <v>&gt;</v>
      </c>
      <c r="H12" s="6" t="str" cm="1">
        <f t="array" ref="H12">_xlfn.LET(
    _xlpm.v, TRIM(INDEX(_xlfn.TEXTSPLIT(C12, " "), 5)),
    IF(RIGHT(_xlpm.v,1)=":", LEFT(_xlpm.v, LEN(_xlpm.v)-1), _xlpm.v)
)</f>
        <v>192.168.110.9.44914</v>
      </c>
      <c r="I12" s="6" t="str">
        <f t="shared" si="4"/>
        <v>Flags [F.]</v>
      </c>
      <c r="J12" s="6" t="str">
        <f t="shared" si="1"/>
        <v>seq 160</v>
      </c>
      <c r="K12" s="6" t="str">
        <f t="shared" si="2"/>
        <v>ack 195</v>
      </c>
      <c r="L12" s="6" t="str">
        <f t="shared" si="5"/>
        <v>win 508</v>
      </c>
      <c r="M12" s="6" t="str">
        <f t="shared" si="6"/>
        <v>options [nop,nop,TS val 2375460208 ecr 2622208994]</v>
      </c>
      <c r="N12" s="6" t="str">
        <f t="shared" si="7"/>
        <v>length 0</v>
      </c>
    </row>
    <row r="13" spans="1:14" x14ac:dyDescent="0.45">
      <c r="A13" s="6" t="str">
        <f t="shared" si="3"/>
        <v>web-test⇒ap-test</v>
      </c>
      <c r="B13" s="6" t="str">
        <f t="shared" si="0"/>
        <v>行き</v>
      </c>
      <c r="C13" s="6" t="s">
        <v>956</v>
      </c>
      <c r="D13" s="6" t="str" cm="1">
        <f t="array" ref="D13">TRIM(INDEX(_xlfn.TEXTSPLIT(C13, " "), 1))</f>
        <v>19:56:16.216537</v>
      </c>
      <c r="E13" s="6" t="str" cm="1">
        <f t="array" ref="E13">TRIM(INDEX(_xlfn.TEXTSPLIT(C13, " "), 2))</f>
        <v>IP</v>
      </c>
      <c r="F13" s="6" t="str" cm="1">
        <f t="array" ref="F13">TRIM(INDEX(_xlfn.TEXTSPLIT(C13, " "), 3))</f>
        <v>192.168.110.9.44914</v>
      </c>
      <c r="G13" s="6" t="str" cm="1">
        <f t="array" ref="G13">TRIM(INDEX(_xlfn.TEXTSPLIT(C13, " "), 4))</f>
        <v>&gt;</v>
      </c>
      <c r="H13" s="6" t="str" cm="1">
        <f t="array" ref="H13">_xlfn.LET(
    _xlpm.v, TRIM(INDEX(_xlfn.TEXTSPLIT(C13, " "), 5)),
    IF(RIGHT(_xlpm.v,1)=":", LEFT(_xlpm.v, LEN(_xlpm.v)-1), _xlpm.v)
)</f>
        <v>192.168.110.10.8080</v>
      </c>
      <c r="I13" s="6" t="str">
        <f t="shared" si="4"/>
        <v>Flags [.]</v>
      </c>
      <c r="J13" s="6" t="str">
        <f t="shared" ref="J13" si="8">IFERROR("seq " &amp; _xlfn.TEXTBEFORE(_xlfn.TEXTAFTER(C13,"seq "),","), "-")</f>
        <v>-</v>
      </c>
      <c r="K13" s="6" t="str">
        <f t="shared" si="2"/>
        <v>ack 160</v>
      </c>
      <c r="L13" s="6" t="str">
        <f t="shared" si="5"/>
        <v>win 501</v>
      </c>
      <c r="M13" s="6" t="str">
        <f t="shared" si="6"/>
        <v>options [nop,nop,TS val 2622209110 ecr 2375460208]</v>
      </c>
      <c r="N13" s="6" t="str">
        <f t="shared" si="7"/>
        <v>length 0</v>
      </c>
    </row>
    <row r="14" spans="1:14" x14ac:dyDescent="0.45">
      <c r="A14" s="6" t="str">
        <f t="shared" si="3"/>
        <v>web-test⇒ap-test</v>
      </c>
      <c r="B14" s="6" t="str">
        <f t="shared" si="0"/>
        <v>行き</v>
      </c>
      <c r="C14" s="6" t="s">
        <v>957</v>
      </c>
      <c r="D14" s="6" t="str" cm="1">
        <f t="array" ref="D14">TRIM(INDEX(_xlfn.TEXTSPLIT(C14, " "), 1))</f>
        <v>19:56:16.216605</v>
      </c>
      <c r="E14" s="6" t="str" cm="1">
        <f t="array" ref="E14">TRIM(INDEX(_xlfn.TEXTSPLIT(C14, " "), 2))</f>
        <v>IP</v>
      </c>
      <c r="F14" s="6" t="str" cm="1">
        <f t="array" ref="F14">TRIM(INDEX(_xlfn.TEXTSPLIT(C14, " "), 3))</f>
        <v>192.168.110.9.44914</v>
      </c>
      <c r="G14" s="6" t="str" cm="1">
        <f t="array" ref="G14">TRIM(INDEX(_xlfn.TEXTSPLIT(C14, " "), 4))</f>
        <v>&gt;</v>
      </c>
      <c r="H14" s="6" t="str" cm="1">
        <f t="array" ref="H14">_xlfn.LET(
    _xlpm.v, TRIM(INDEX(_xlfn.TEXTSPLIT(C14, " "), 5)),
    IF(RIGHT(_xlpm.v,1)=":", LEFT(_xlpm.v, LEN(_xlpm.v)-1), _xlpm.v)
)</f>
        <v>192.168.110.10.8080</v>
      </c>
      <c r="I14" s="6" t="str">
        <f t="shared" si="4"/>
        <v>Flags [F.]</v>
      </c>
      <c r="J14" s="6" t="str">
        <f>IFERROR("seq " &amp; _xlfn.TEXTBEFORE(_xlfn.TEXTAFTER(C14,"seq "),","), "-")</f>
        <v>seq 195</v>
      </c>
      <c r="K14" s="6" t="str">
        <f t="shared" si="2"/>
        <v>ack 161</v>
      </c>
      <c r="L14" s="6" t="str">
        <f t="shared" si="5"/>
        <v>win 501</v>
      </c>
      <c r="M14" s="6" t="str">
        <f t="shared" si="6"/>
        <v>options [nop,nop,TS val 2622209110 ecr 2375460208]</v>
      </c>
      <c r="N14" s="6" t="str">
        <f t="shared" si="7"/>
        <v>length 0</v>
      </c>
    </row>
    <row r="15" spans="1:14" x14ac:dyDescent="0.45">
      <c r="A15" s="6" t="str">
        <f t="shared" si="3"/>
        <v>ap-test⇒web-test</v>
      </c>
      <c r="B15" s="6" t="str">
        <f t="shared" si="0"/>
        <v>返り</v>
      </c>
      <c r="C15" s="6" t="s">
        <v>958</v>
      </c>
      <c r="D15" s="6" t="str" cm="1">
        <f t="array" ref="D15">TRIM(INDEX(_xlfn.TEXTSPLIT(C15, " "), 1))</f>
        <v>19:56:16.216618</v>
      </c>
      <c r="E15" s="6" t="str" cm="1">
        <f t="array" ref="E15">TRIM(INDEX(_xlfn.TEXTSPLIT(C15, " "), 2))</f>
        <v>IP</v>
      </c>
      <c r="F15" s="6" t="str" cm="1">
        <f t="array" ref="F15">TRIM(INDEX(_xlfn.TEXTSPLIT(C15, " "), 3))</f>
        <v>192.168.110.10.8080</v>
      </c>
      <c r="G15" s="6" t="str" cm="1">
        <f t="array" ref="G15">TRIM(INDEX(_xlfn.TEXTSPLIT(C15, " "), 4))</f>
        <v>&gt;</v>
      </c>
      <c r="H15" s="6" t="str" cm="1">
        <f t="array" ref="H15">_xlfn.LET(
    _xlpm.v, TRIM(INDEX(_xlfn.TEXTSPLIT(C15, " "), 5)),
    IF(RIGHT(_xlpm.v,1)=":", LEFT(_xlpm.v, LEN(_xlpm.v)-1), _xlpm.v)
)</f>
        <v>192.168.110.9.44914</v>
      </c>
      <c r="I15" s="6" t="str">
        <f t="shared" si="4"/>
        <v>Flags [.]</v>
      </c>
      <c r="J15" s="6" t="str">
        <f t="shared" ref="J15" si="9">IFERROR("seq " &amp; _xlfn.TEXTBEFORE(_xlfn.TEXTAFTER(C15,"seq "),","), "-")</f>
        <v>-</v>
      </c>
      <c r="K15" s="6" t="str">
        <f t="shared" si="2"/>
        <v>ack 196</v>
      </c>
      <c r="L15" s="6" t="str">
        <f t="shared" si="5"/>
        <v>win 508</v>
      </c>
      <c r="M15" s="6" t="str">
        <f t="shared" si="6"/>
        <v>options [nop,nop,TS val 2375460209 ecr 2622209110]</v>
      </c>
      <c r="N15" s="6" t="str">
        <f t="shared" si="7"/>
        <v>length 0</v>
      </c>
    </row>
    <row r="16" spans="1:14" x14ac:dyDescent="0.45">
      <c r="A16" s="4" t="s">
        <v>48</v>
      </c>
    </row>
    <row r="18" spans="1:1" x14ac:dyDescent="0.45">
      <c r="A18" s="12" t="s">
        <v>587</v>
      </c>
    </row>
    <row r="19" spans="1:1" x14ac:dyDescent="0.45">
      <c r="A19" s="4" t="s">
        <v>940</v>
      </c>
    </row>
    <row r="20" spans="1:1" x14ac:dyDescent="0.45">
      <c r="A20" s="4" t="s">
        <v>941</v>
      </c>
    </row>
    <row r="21" spans="1:1" x14ac:dyDescent="0.45">
      <c r="A21" s="4" t="s">
        <v>35</v>
      </c>
    </row>
    <row r="22" spans="1:1" x14ac:dyDescent="0.45">
      <c r="A22" s="4" t="s">
        <v>36</v>
      </c>
    </row>
    <row r="23" spans="1:1" x14ac:dyDescent="0.45">
      <c r="A23" s="4" t="s">
        <v>32</v>
      </c>
    </row>
    <row r="24" spans="1:1" x14ac:dyDescent="0.45">
      <c r="A24" s="23" t="s">
        <v>942</v>
      </c>
    </row>
    <row r="25" spans="1:1" x14ac:dyDescent="0.45">
      <c r="A25" s="23" t="s">
        <v>943</v>
      </c>
    </row>
    <row r="26" spans="1:1" x14ac:dyDescent="0.45">
      <c r="A26" s="23" t="s">
        <v>944</v>
      </c>
    </row>
    <row r="27" spans="1:1" x14ac:dyDescent="0.45">
      <c r="A27" s="23" t="s">
        <v>945</v>
      </c>
    </row>
    <row r="28" spans="1:1" x14ac:dyDescent="0.45">
      <c r="A28" s="23" t="s">
        <v>946</v>
      </c>
    </row>
    <row r="29" spans="1:1" x14ac:dyDescent="0.45">
      <c r="A29" s="23" t="s">
        <v>947</v>
      </c>
    </row>
    <row r="30" spans="1:1" x14ac:dyDescent="0.45">
      <c r="A30" s="23" t="s">
        <v>948</v>
      </c>
    </row>
    <row r="31" spans="1:1" x14ac:dyDescent="0.45">
      <c r="A31" s="23" t="s">
        <v>949</v>
      </c>
    </row>
    <row r="32" spans="1:1" x14ac:dyDescent="0.45">
      <c r="A32" s="23" t="s">
        <v>950</v>
      </c>
    </row>
    <row r="33" spans="1:1" x14ac:dyDescent="0.45">
      <c r="A33" s="23" t="s">
        <v>951</v>
      </c>
    </row>
    <row r="34" spans="1:1" x14ac:dyDescent="0.45">
      <c r="A34" s="4" t="s">
        <v>952</v>
      </c>
    </row>
    <row r="36" spans="1:1" x14ac:dyDescent="0.45">
      <c r="A36" s="4" t="s">
        <v>162</v>
      </c>
    </row>
    <row r="37" spans="1:1" x14ac:dyDescent="0.45">
      <c r="A37" s="4" t="s">
        <v>163</v>
      </c>
    </row>
    <row r="38" spans="1:1" x14ac:dyDescent="0.45">
      <c r="A38" s="4" t="s">
        <v>38</v>
      </c>
    </row>
    <row r="39" spans="1:1" x14ac:dyDescent="0.45">
      <c r="A39" s="4" t="s">
        <v>560</v>
      </c>
    </row>
    <row r="41" spans="1:1" x14ac:dyDescent="0.45">
      <c r="A41" s="12" t="s">
        <v>874</v>
      </c>
    </row>
    <row r="42" spans="1:1" x14ac:dyDescent="0.45">
      <c r="A42" s="4" t="s">
        <v>953</v>
      </c>
    </row>
    <row r="43" spans="1:1" x14ac:dyDescent="0.45">
      <c r="A43" s="4" t="s">
        <v>954</v>
      </c>
    </row>
    <row r="44" spans="1:1" x14ac:dyDescent="0.45">
      <c r="A44" s="4" t="s">
        <v>265</v>
      </c>
    </row>
    <row r="59" spans="1:1" x14ac:dyDescent="0.45">
      <c r="A59" s="12"/>
    </row>
    <row r="60" spans="1:1" x14ac:dyDescent="0.45">
      <c r="A60" s="12"/>
    </row>
    <row r="61" spans="1:1" x14ac:dyDescent="0.45">
      <c r="A61" s="12"/>
    </row>
    <row r="96" spans="1:1" x14ac:dyDescent="0.45">
      <c r="A96" s="12"/>
    </row>
    <row r="160" spans="1:1" x14ac:dyDescent="0.45">
      <c r="A160" s="12"/>
    </row>
    <row r="223" spans="1:1" x14ac:dyDescent="0.45">
      <c r="A223" s="12"/>
    </row>
  </sheetData>
  <phoneticPr fontId="1"/>
  <conditionalFormatting sqref="A5:C5 A6:N15">
    <cfRule type="expression" dxfId="5" priority="1">
      <formula>$B5="返り"</formula>
    </cfRule>
    <cfRule type="expression" dxfId="4" priority="2">
      <formula>$B5="行き"</formula>
    </cfRule>
  </conditionalFormatting>
  <hyperlinks>
    <hyperlink ref="A1" location="通信要件一覧!A1" display="※「通信要件一覧」シートに戻る" xr:uid="{4B4DBE3B-030A-4A07-A9FA-19A4175ED045}"/>
  </hyperlinks>
  <pageMargins left="0.7" right="0.7" top="0.75" bottom="0.75" header="0.3" footer="0.3"/>
  <pageSetup paperSize="9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AA02-39EA-440C-BDC7-11EE458DD695}">
  <dimension ref="A1:N231"/>
  <sheetViews>
    <sheetView view="pageBreakPreview" zoomScale="85" zoomScaleNormal="100" zoomScaleSheetLayoutView="85" workbookViewId="0"/>
  </sheetViews>
  <sheetFormatPr defaultRowHeight="15.75" x14ac:dyDescent="0.45"/>
  <cols>
    <col min="1" max="1" width="15" style="4" customWidth="1"/>
    <col min="2" max="2" width="11.21875" style="4" bestFit="1" customWidth="1"/>
    <col min="3" max="3" width="12.109375" style="4" customWidth="1"/>
    <col min="4" max="4" width="16" style="4" bestFit="1" customWidth="1"/>
    <col min="5" max="5" width="12.109375" style="4" bestFit="1" customWidth="1"/>
    <col min="6" max="6" width="20.6640625" style="4" bestFit="1" customWidth="1"/>
    <col min="7" max="7" width="8.21875" style="4" bestFit="1" customWidth="1"/>
    <col min="8" max="8" width="20.6640625" style="4" bestFit="1" customWidth="1"/>
    <col min="9" max="9" width="15.44140625" style="4" bestFit="1" customWidth="1"/>
    <col min="10" max="10" width="16.77734375" style="4" bestFit="1" customWidth="1"/>
    <col min="11" max="11" width="14.21875" style="4" bestFit="1" customWidth="1"/>
    <col min="12" max="12" width="12.33203125" style="4" bestFit="1" customWidth="1"/>
    <col min="13" max="13" width="59.88671875" style="4" customWidth="1"/>
    <col min="14" max="14" width="10.88671875" style="4" bestFit="1" customWidth="1"/>
    <col min="15" max="16384" width="8.88671875" style="4"/>
  </cols>
  <sheetData>
    <row r="1" spans="1:14" x14ac:dyDescent="0.45">
      <c r="A1" s="9" t="s">
        <v>56</v>
      </c>
    </row>
    <row r="2" spans="1:14" x14ac:dyDescent="0.45">
      <c r="A2" s="12" t="s">
        <v>93</v>
      </c>
    </row>
    <row r="3" spans="1:14" x14ac:dyDescent="0.45">
      <c r="A3" s="12" t="s">
        <v>398</v>
      </c>
    </row>
    <row r="4" spans="1:14" x14ac:dyDescent="0.45">
      <c r="A4" s="12" t="s">
        <v>399</v>
      </c>
    </row>
    <row r="5" spans="1:14" x14ac:dyDescent="0.45">
      <c r="A5" s="68" t="s">
        <v>297</v>
      </c>
      <c r="B5" s="68" t="s">
        <v>92</v>
      </c>
      <c r="C5" s="68" t="s">
        <v>91</v>
      </c>
      <c r="D5" s="68" t="s">
        <v>30</v>
      </c>
      <c r="E5" s="68" t="s">
        <v>31</v>
      </c>
      <c r="F5" s="68" t="s">
        <v>122</v>
      </c>
      <c r="G5" s="68" t="s">
        <v>33</v>
      </c>
      <c r="H5" s="68" t="s">
        <v>123</v>
      </c>
      <c r="I5" s="68" t="s">
        <v>157</v>
      </c>
      <c r="J5" s="68" t="s">
        <v>158</v>
      </c>
      <c r="K5" s="68" t="s">
        <v>159</v>
      </c>
      <c r="L5" s="68" t="s">
        <v>160</v>
      </c>
      <c r="M5" s="68" t="s">
        <v>161</v>
      </c>
      <c r="N5" s="68" t="s">
        <v>34</v>
      </c>
    </row>
    <row r="6" spans="1:14" x14ac:dyDescent="0.45">
      <c r="A6" s="6" t="str">
        <f>IF(B6="行き","ap-test⇒db-test",IF(B6="返り","db-test⇒ap-test",""))</f>
        <v>ap-test⇒db-test</v>
      </c>
      <c r="B6" s="6" t="str">
        <f>IF(F6="192.168.120.7.5432","返り","行き")</f>
        <v>行き</v>
      </c>
      <c r="C6" s="6" t="s">
        <v>963</v>
      </c>
      <c r="D6" s="6" t="str" cm="1">
        <f t="array" ref="D6">TRIM(INDEX(_xlfn.TEXTSPLIT(C6, " "), 1))</f>
        <v>20:07:24.641414</v>
      </c>
      <c r="E6" s="6" t="str" cm="1">
        <f t="array" ref="E6">TRIM(INDEX(_xlfn.TEXTSPLIT(C6, " "), 2))</f>
        <v>IP</v>
      </c>
      <c r="F6" s="6" t="str" cm="1">
        <f t="array" ref="F6">TRIM(INDEX(_xlfn.TEXTSPLIT(C6, " "), 3))</f>
        <v>192.168.110.10.60860</v>
      </c>
      <c r="G6" s="6" t="str" cm="1">
        <f t="array" ref="G6">TRIM(INDEX(_xlfn.TEXTSPLIT(C6, " "), 4))</f>
        <v>&gt;</v>
      </c>
      <c r="H6" s="6" t="str" cm="1">
        <f t="array" ref="H6">_xlfn.LET(
    _xlpm.v, TRIM(INDEX(_xlfn.TEXTSPLIT(C6, " "), 5)),
    IF(RIGHT(_xlpm.v,1)=":", LEFT(_xlpm.v, LEN(_xlpm.v)-1), _xlpm.v)
)</f>
        <v>192.168.120.7.5432</v>
      </c>
      <c r="I6" s="6" t="str">
        <f>"Flags [" &amp; _xlfn.TEXTBEFORE(_xlfn.TEXTAFTER(C6,"Flags ["),"]") &amp; "]"</f>
        <v>Flags [S]</v>
      </c>
      <c r="J6" s="6" t="str">
        <f t="shared" ref="J6:J12" si="0">IFERROR("seq " &amp; _xlfn.TEXTBEFORE(_xlfn.TEXTAFTER(C6,"seq "),","), "-")</f>
        <v>seq 850550795</v>
      </c>
      <c r="K6" s="6" t="str">
        <f t="shared" ref="K6:K15" si="1">IFERROR("ack " &amp; _xlfn.TEXTBEFORE(_xlfn.TEXTAFTER(C6,"ack "),","), "-")</f>
        <v>-</v>
      </c>
      <c r="L6" s="6" t="str">
        <f>IFERROR("win " &amp; _xlfn.TEXTBEFORE(_xlfn.TEXTAFTER(C6,"win "),","), "-")</f>
        <v>win 64240</v>
      </c>
      <c r="M6" s="6" t="str">
        <f>IFERROR("options [" &amp; _xlfn.TEXTBEFORE(_xlfn.TEXTAFTER(C6,"options ["),"]") &amp; "]","-")</f>
        <v>options [mss 1460,sackOK,TS val 201993052 ecr 0,nop,wscale 7]</v>
      </c>
      <c r="N6" s="6" t="str">
        <f>TRIM(MID(C6, FIND("length ", C6), LEN(C6) - FIND("length ", C6) + 1))</f>
        <v>length 0</v>
      </c>
    </row>
    <row r="7" spans="1:14" x14ac:dyDescent="0.45">
      <c r="A7" s="6" t="str">
        <f t="shared" ref="A7:A24" si="2">IF(B7="行き","ap-test⇒db-test",IF(B7="返り","db-test⇒ap-test",""))</f>
        <v>db-test⇒ap-test</v>
      </c>
      <c r="B7" s="6" t="str">
        <f t="shared" ref="B7:B15" si="3">IF(F7="192.168.120.7.5432","返り","行き")</f>
        <v>返り</v>
      </c>
      <c r="C7" s="6" t="s">
        <v>964</v>
      </c>
      <c r="D7" s="6" t="str" cm="1">
        <f t="array" ref="D7">TRIM(INDEX(_xlfn.TEXTSPLIT(C7, " "), 1))</f>
        <v>20:07:24.641463</v>
      </c>
      <c r="E7" s="6" t="str" cm="1">
        <f t="array" ref="E7">TRIM(INDEX(_xlfn.TEXTSPLIT(C7, " "), 2))</f>
        <v>IP</v>
      </c>
      <c r="F7" s="6" t="str" cm="1">
        <f t="array" ref="F7">TRIM(INDEX(_xlfn.TEXTSPLIT(C7, " "), 3))</f>
        <v>192.168.120.7.5432</v>
      </c>
      <c r="G7" s="6" t="str" cm="1">
        <f t="array" ref="G7">TRIM(INDEX(_xlfn.TEXTSPLIT(C7, " "), 4))</f>
        <v>&gt;</v>
      </c>
      <c r="H7" s="6" t="str" cm="1">
        <f t="array" ref="H7">_xlfn.LET(
    _xlpm.v, TRIM(INDEX(_xlfn.TEXTSPLIT(C7, " "), 5)),
    IF(RIGHT(_xlpm.v,1)=":", LEFT(_xlpm.v, LEN(_xlpm.v)-1), _xlpm.v)
)</f>
        <v>192.168.110.10.60860</v>
      </c>
      <c r="I7" s="6" t="str">
        <f t="shared" ref="I7:I15" si="4">"Flags [" &amp; _xlfn.TEXTBEFORE(_xlfn.TEXTAFTER(C7,"Flags ["),"]") &amp; "]"</f>
        <v>Flags [S.]</v>
      </c>
      <c r="J7" s="6" t="str">
        <f t="shared" si="0"/>
        <v>seq 938353220</v>
      </c>
      <c r="K7" s="6" t="str">
        <f t="shared" si="1"/>
        <v>ack 850550796</v>
      </c>
      <c r="L7" s="6" t="str">
        <f t="shared" ref="L7:L15" si="5">IFERROR("win " &amp; _xlfn.TEXTBEFORE(_xlfn.TEXTAFTER(C7,"win "),","), "-")</f>
        <v>win 65160</v>
      </c>
      <c r="M7" s="6" t="str">
        <f t="shared" ref="M7:M15" si="6">IFERROR("options [" &amp; _xlfn.TEXTBEFORE(_xlfn.TEXTAFTER(C7,"options ["),"]") &amp; "]","-")</f>
        <v>options [mss 1460,sackOK,TS val 553947573 ecr 201993052,nop,wscale 7]</v>
      </c>
      <c r="N7" s="6" t="str">
        <f t="shared" ref="N7:N15" si="7">TRIM(MID(C7, FIND("length ", C7), LEN(C7) - FIND("length ", C7) + 1))</f>
        <v>length 0</v>
      </c>
    </row>
    <row r="8" spans="1:14" x14ac:dyDescent="0.45">
      <c r="A8" s="6" t="str">
        <f t="shared" si="2"/>
        <v>ap-test⇒db-test</v>
      </c>
      <c r="B8" s="6" t="str">
        <f t="shared" si="3"/>
        <v>行き</v>
      </c>
      <c r="C8" s="6" t="s">
        <v>965</v>
      </c>
      <c r="D8" s="6" t="str" cm="1">
        <f t="array" ref="D8">TRIM(INDEX(_xlfn.TEXTSPLIT(C8, " "), 1))</f>
        <v>20:07:24.642074</v>
      </c>
      <c r="E8" s="6" t="str" cm="1">
        <f t="array" ref="E8">TRIM(INDEX(_xlfn.TEXTSPLIT(C8, " "), 2))</f>
        <v>IP</v>
      </c>
      <c r="F8" s="6" t="str" cm="1">
        <f t="array" ref="F8">TRIM(INDEX(_xlfn.TEXTSPLIT(C8, " "), 3))</f>
        <v>192.168.110.10.60860</v>
      </c>
      <c r="G8" s="6" t="str" cm="1">
        <f t="array" ref="G8">TRIM(INDEX(_xlfn.TEXTSPLIT(C8, " "), 4))</f>
        <v>&gt;</v>
      </c>
      <c r="H8" s="6" t="str" cm="1">
        <f t="array" ref="H8">_xlfn.LET(
    _xlpm.v, TRIM(INDEX(_xlfn.TEXTSPLIT(C8, " "), 5)),
    IF(RIGHT(_xlpm.v,1)=":", LEFT(_xlpm.v, LEN(_xlpm.v)-1), _xlpm.v)
)</f>
        <v>192.168.120.7.5432</v>
      </c>
      <c r="I8" s="6" t="str">
        <f t="shared" si="4"/>
        <v>Flags [.]</v>
      </c>
      <c r="J8" s="6" t="str">
        <f t="shared" si="0"/>
        <v>-</v>
      </c>
      <c r="K8" s="6" t="str">
        <f t="shared" si="1"/>
        <v>ack 1</v>
      </c>
      <c r="L8" s="6" t="str">
        <f t="shared" si="5"/>
        <v>win 502</v>
      </c>
      <c r="M8" s="6" t="str">
        <f t="shared" si="6"/>
        <v>options [nop,nop,TS val 201993053 ecr 553947573]</v>
      </c>
      <c r="N8" s="6" t="str">
        <f t="shared" si="7"/>
        <v>length 0</v>
      </c>
    </row>
    <row r="9" spans="1:14" x14ac:dyDescent="0.45">
      <c r="A9" s="6" t="str">
        <f t="shared" si="2"/>
        <v>ap-test⇒db-test</v>
      </c>
      <c r="B9" s="6" t="str">
        <f t="shared" si="3"/>
        <v>行き</v>
      </c>
      <c r="C9" s="6" t="s">
        <v>966</v>
      </c>
      <c r="D9" s="6" t="str" cm="1">
        <f t="array" ref="D9">TRIM(INDEX(_xlfn.TEXTSPLIT(C9, " "), 1))</f>
        <v>20:07:24.642155</v>
      </c>
      <c r="E9" s="6" t="str" cm="1">
        <f t="array" ref="E9">TRIM(INDEX(_xlfn.TEXTSPLIT(C9, " "), 2))</f>
        <v>IP</v>
      </c>
      <c r="F9" s="6" t="str" cm="1">
        <f t="array" ref="F9">TRIM(INDEX(_xlfn.TEXTSPLIT(C9, " "), 3))</f>
        <v>192.168.110.10.60860</v>
      </c>
      <c r="G9" s="6" t="str" cm="1">
        <f t="array" ref="G9">TRIM(INDEX(_xlfn.TEXTSPLIT(C9, " "), 4))</f>
        <v>&gt;</v>
      </c>
      <c r="H9" s="6" t="str" cm="1">
        <f t="array" ref="H9">_xlfn.LET(
    _xlpm.v, TRIM(INDEX(_xlfn.TEXTSPLIT(C9, " "), 5)),
    IF(RIGHT(_xlpm.v,1)=":", LEFT(_xlpm.v, LEN(_xlpm.v)-1), _xlpm.v)
)</f>
        <v>192.168.120.7.5432</v>
      </c>
      <c r="I9" s="6" t="str">
        <f t="shared" si="4"/>
        <v>Flags [P.]</v>
      </c>
      <c r="J9" s="6" t="str">
        <f t="shared" si="0"/>
        <v>seq 1:9</v>
      </c>
      <c r="K9" s="6" t="str">
        <f t="shared" si="1"/>
        <v>ack 1</v>
      </c>
      <c r="L9" s="6" t="str">
        <f t="shared" si="5"/>
        <v>win 502</v>
      </c>
      <c r="M9" s="6" t="str">
        <f t="shared" si="6"/>
        <v>options [nop,nop,TS val 201993053 ecr 553947573]</v>
      </c>
      <c r="N9" s="6" t="str">
        <f t="shared" si="7"/>
        <v>length 8</v>
      </c>
    </row>
    <row r="10" spans="1:14" x14ac:dyDescent="0.45">
      <c r="A10" s="6" t="str">
        <f t="shared" si="2"/>
        <v>db-test⇒ap-test</v>
      </c>
      <c r="B10" s="6" t="str">
        <f t="shared" si="3"/>
        <v>返り</v>
      </c>
      <c r="C10" s="6" t="s">
        <v>967</v>
      </c>
      <c r="D10" s="6" t="str" cm="1">
        <f t="array" ref="D10">TRIM(INDEX(_xlfn.TEXTSPLIT(C10, " "), 1))</f>
        <v>20:07:24.642165</v>
      </c>
      <c r="E10" s="6" t="str" cm="1">
        <f t="array" ref="E10">TRIM(INDEX(_xlfn.TEXTSPLIT(C10, " "), 2))</f>
        <v>IP</v>
      </c>
      <c r="F10" s="6" t="str" cm="1">
        <f t="array" ref="F10">TRIM(INDEX(_xlfn.TEXTSPLIT(C10, " "), 3))</f>
        <v>192.168.120.7.5432</v>
      </c>
      <c r="G10" s="6" t="str" cm="1">
        <f t="array" ref="G10">TRIM(INDEX(_xlfn.TEXTSPLIT(C10, " "), 4))</f>
        <v>&gt;</v>
      </c>
      <c r="H10" s="6" t="str" cm="1">
        <f t="array" ref="H10">_xlfn.LET(
    _xlpm.v, TRIM(INDEX(_xlfn.TEXTSPLIT(C10, " "), 5)),
    IF(RIGHT(_xlpm.v,1)=":", LEFT(_xlpm.v, LEN(_xlpm.v)-1), _xlpm.v)
)</f>
        <v>192.168.110.10.60860</v>
      </c>
      <c r="I10" s="6" t="str">
        <f t="shared" si="4"/>
        <v>Flags [.]</v>
      </c>
      <c r="J10" s="6" t="str">
        <f t="shared" si="0"/>
        <v>-</v>
      </c>
      <c r="K10" s="6" t="str">
        <f t="shared" si="1"/>
        <v>ack 9</v>
      </c>
      <c r="L10" s="6" t="str">
        <f t="shared" si="5"/>
        <v>win 509</v>
      </c>
      <c r="M10" s="6" t="str">
        <f t="shared" si="6"/>
        <v>options [nop,nop,TS val 553947573 ecr 201993053]</v>
      </c>
      <c r="N10" s="6" t="str">
        <f t="shared" si="7"/>
        <v>length 0</v>
      </c>
    </row>
    <row r="11" spans="1:14" x14ac:dyDescent="0.45">
      <c r="A11" s="6" t="str">
        <f t="shared" si="2"/>
        <v>db-test⇒ap-test</v>
      </c>
      <c r="B11" s="6" t="str">
        <f t="shared" si="3"/>
        <v>返り</v>
      </c>
      <c r="C11" s="6" t="s">
        <v>968</v>
      </c>
      <c r="D11" s="6" t="str" cm="1">
        <f t="array" ref="D11">TRIM(INDEX(_xlfn.TEXTSPLIT(C11, " "), 1))</f>
        <v>20:07:24.643176</v>
      </c>
      <c r="E11" s="6" t="str" cm="1">
        <f t="array" ref="E11">TRIM(INDEX(_xlfn.TEXTSPLIT(C11, " "), 2))</f>
        <v>IP</v>
      </c>
      <c r="F11" s="6" t="str" cm="1">
        <f t="array" ref="F11">TRIM(INDEX(_xlfn.TEXTSPLIT(C11, " "), 3))</f>
        <v>192.168.120.7.5432</v>
      </c>
      <c r="G11" s="6" t="str" cm="1">
        <f t="array" ref="G11">TRIM(INDEX(_xlfn.TEXTSPLIT(C11, " "), 4))</f>
        <v>&gt;</v>
      </c>
      <c r="H11" s="6" t="str" cm="1">
        <f t="array" ref="H11">_xlfn.LET(
    _xlpm.v, TRIM(INDEX(_xlfn.TEXTSPLIT(C11, " "), 5)),
    IF(RIGHT(_xlpm.v,1)=":", LEFT(_xlpm.v, LEN(_xlpm.v)-1), _xlpm.v)
)</f>
        <v>192.168.110.10.60860</v>
      </c>
      <c r="I11" s="6" t="str">
        <f t="shared" si="4"/>
        <v>Flags [P.]</v>
      </c>
      <c r="J11" s="6" t="str">
        <f t="shared" si="0"/>
        <v>seq 1:2</v>
      </c>
      <c r="K11" s="6" t="str">
        <f t="shared" si="1"/>
        <v>ack 9</v>
      </c>
      <c r="L11" s="6" t="str">
        <f t="shared" si="5"/>
        <v>win 509</v>
      </c>
      <c r="M11" s="6" t="str">
        <f t="shared" si="6"/>
        <v>options [nop,nop,TS val 553947574 ecr 201993053]</v>
      </c>
      <c r="N11" s="6" t="str">
        <f t="shared" si="7"/>
        <v>length 1</v>
      </c>
    </row>
    <row r="12" spans="1:14" x14ac:dyDescent="0.45">
      <c r="A12" s="6" t="str">
        <f t="shared" si="2"/>
        <v>ap-test⇒db-test</v>
      </c>
      <c r="B12" s="6" t="str">
        <f t="shared" si="3"/>
        <v>行き</v>
      </c>
      <c r="C12" s="6" t="s">
        <v>969</v>
      </c>
      <c r="D12" s="6" t="str" cm="1">
        <f t="array" ref="D12">TRIM(INDEX(_xlfn.TEXTSPLIT(C12, " "), 1))</f>
        <v>20:07:24.643949</v>
      </c>
      <c r="E12" s="6" t="str" cm="1">
        <f t="array" ref="E12">TRIM(INDEX(_xlfn.TEXTSPLIT(C12, " "), 2))</f>
        <v>IP</v>
      </c>
      <c r="F12" s="6" t="str" cm="1">
        <f t="array" ref="F12">TRIM(INDEX(_xlfn.TEXTSPLIT(C12, " "), 3))</f>
        <v>192.168.110.10.60860</v>
      </c>
      <c r="G12" s="6" t="str" cm="1">
        <f t="array" ref="G12">TRIM(INDEX(_xlfn.TEXTSPLIT(C12, " "), 4))</f>
        <v>&gt;</v>
      </c>
      <c r="H12" s="6" t="str" cm="1">
        <f t="array" ref="H12">_xlfn.LET(
    _xlpm.v, TRIM(INDEX(_xlfn.TEXTSPLIT(C12, " "), 5)),
    IF(RIGHT(_xlpm.v,1)=":", LEFT(_xlpm.v, LEN(_xlpm.v)-1), _xlpm.v)
)</f>
        <v>192.168.120.7.5432</v>
      </c>
      <c r="I12" s="6" t="str">
        <f t="shared" si="4"/>
        <v>Flags [.]</v>
      </c>
      <c r="J12" s="6" t="str">
        <f t="shared" si="0"/>
        <v>-</v>
      </c>
      <c r="K12" s="6" t="str">
        <f t="shared" si="1"/>
        <v>ack 2</v>
      </c>
      <c r="L12" s="6" t="str">
        <f t="shared" si="5"/>
        <v>win 502</v>
      </c>
      <c r="M12" s="6" t="str">
        <f t="shared" si="6"/>
        <v>options [nop,nop,TS val 201993055 ecr 553947574]</v>
      </c>
      <c r="N12" s="6" t="str">
        <f t="shared" si="7"/>
        <v>length 0</v>
      </c>
    </row>
    <row r="13" spans="1:14" x14ac:dyDescent="0.45">
      <c r="A13" s="6" t="str">
        <f t="shared" si="2"/>
        <v>ap-test⇒db-test</v>
      </c>
      <c r="B13" s="6" t="str">
        <f t="shared" si="3"/>
        <v>行き</v>
      </c>
      <c r="C13" s="6" t="s">
        <v>970</v>
      </c>
      <c r="D13" s="6" t="str" cm="1">
        <f t="array" ref="D13">TRIM(INDEX(_xlfn.TEXTSPLIT(C13, " "), 1))</f>
        <v>20:07:24.643949</v>
      </c>
      <c r="E13" s="6" t="str" cm="1">
        <f t="array" ref="E13">TRIM(INDEX(_xlfn.TEXTSPLIT(C13, " "), 2))</f>
        <v>IP</v>
      </c>
      <c r="F13" s="6" t="str" cm="1">
        <f t="array" ref="F13">TRIM(INDEX(_xlfn.TEXTSPLIT(C13, " "), 3))</f>
        <v>192.168.110.10.60860</v>
      </c>
      <c r="G13" s="6" t="str" cm="1">
        <f t="array" ref="G13">TRIM(INDEX(_xlfn.TEXTSPLIT(C13, " "), 4))</f>
        <v>&gt;</v>
      </c>
      <c r="H13" s="6" t="str" cm="1">
        <f t="array" ref="H13">_xlfn.LET(
    _xlpm.v, TRIM(INDEX(_xlfn.TEXTSPLIT(C13, " "), 5)),
    IF(RIGHT(_xlpm.v,1)=":", LEFT(_xlpm.v, LEN(_xlpm.v)-1), _xlpm.v)
)</f>
        <v>192.168.120.7.5432</v>
      </c>
      <c r="I13" s="6" t="str">
        <f t="shared" si="4"/>
        <v>Flags [P.]</v>
      </c>
      <c r="J13" s="6" t="str">
        <f t="shared" ref="J13" si="8">IFERROR("seq " &amp; _xlfn.TEXTBEFORE(_xlfn.TEXTAFTER(C13,"seq "),","), "-")</f>
        <v>seq 9:46</v>
      </c>
      <c r="K13" s="6" t="str">
        <f t="shared" si="1"/>
        <v>ack 2</v>
      </c>
      <c r="L13" s="6" t="str">
        <f t="shared" si="5"/>
        <v>win 502</v>
      </c>
      <c r="M13" s="6" t="str">
        <f t="shared" si="6"/>
        <v>options [nop,nop,TS val 201993055 ecr 553947574]</v>
      </c>
      <c r="N13" s="6" t="str">
        <f t="shared" si="7"/>
        <v>length 37</v>
      </c>
    </row>
    <row r="14" spans="1:14" x14ac:dyDescent="0.45">
      <c r="A14" s="6" t="str">
        <f t="shared" si="2"/>
        <v>db-test⇒ap-test</v>
      </c>
      <c r="B14" s="6" t="str">
        <f t="shared" si="3"/>
        <v>返り</v>
      </c>
      <c r="C14" s="6" t="s">
        <v>971</v>
      </c>
      <c r="D14" s="6" t="str" cm="1">
        <f t="array" ref="D14">TRIM(INDEX(_xlfn.TEXTSPLIT(C14, " "), 1))</f>
        <v>20:07:24.678820</v>
      </c>
      <c r="E14" s="6" t="str" cm="1">
        <f t="array" ref="E14">TRIM(INDEX(_xlfn.TEXTSPLIT(C14, " "), 2))</f>
        <v>IP</v>
      </c>
      <c r="F14" s="6" t="str" cm="1">
        <f t="array" ref="F14">TRIM(INDEX(_xlfn.TEXTSPLIT(C14, " "), 3))</f>
        <v>192.168.120.7.5432</v>
      </c>
      <c r="G14" s="6" t="str" cm="1">
        <f t="array" ref="G14">TRIM(INDEX(_xlfn.TEXTSPLIT(C14, " "), 4))</f>
        <v>&gt;</v>
      </c>
      <c r="H14" s="6" t="str" cm="1">
        <f t="array" ref="H14">_xlfn.LET(
    _xlpm.v, TRIM(INDEX(_xlfn.TEXTSPLIT(C14, " "), 5)),
    IF(RIGHT(_xlpm.v,1)=":", LEFT(_xlpm.v, LEN(_xlpm.v)-1), _xlpm.v)
)</f>
        <v>192.168.110.10.60860</v>
      </c>
      <c r="I14" s="6" t="str">
        <f t="shared" si="4"/>
        <v>Flags [P.]</v>
      </c>
      <c r="J14" s="6" t="str">
        <f>IFERROR("seq " &amp; _xlfn.TEXTBEFORE(_xlfn.TEXTAFTER(C14,"seq "),","), "-")</f>
        <v>seq 2:15</v>
      </c>
      <c r="K14" s="6" t="str">
        <f t="shared" si="1"/>
        <v>ack 46</v>
      </c>
      <c r="L14" s="6" t="str">
        <f t="shared" si="5"/>
        <v>win 509</v>
      </c>
      <c r="M14" s="6" t="str">
        <f t="shared" si="6"/>
        <v>options [nop,nop,TS val 553947610 ecr 201993055]</v>
      </c>
      <c r="N14" s="6" t="str">
        <f t="shared" si="7"/>
        <v>length 13</v>
      </c>
    </row>
    <row r="15" spans="1:14" x14ac:dyDescent="0.45">
      <c r="A15" s="6" t="str">
        <f t="shared" si="2"/>
        <v>ap-test⇒db-test</v>
      </c>
      <c r="B15" s="6" t="str">
        <f t="shared" si="3"/>
        <v>行き</v>
      </c>
      <c r="C15" s="6" t="s">
        <v>972</v>
      </c>
      <c r="D15" s="6" t="str" cm="1">
        <f t="array" ref="D15">TRIM(INDEX(_xlfn.TEXTSPLIT(C15, " "), 1))</f>
        <v>20:07:24.720825</v>
      </c>
      <c r="E15" s="6" t="str" cm="1">
        <f t="array" ref="E15">TRIM(INDEX(_xlfn.TEXTSPLIT(C15, " "), 2))</f>
        <v>IP</v>
      </c>
      <c r="F15" s="6" t="str" cm="1">
        <f t="array" ref="F15">TRIM(INDEX(_xlfn.TEXTSPLIT(C15, " "), 3))</f>
        <v>192.168.110.10.60860</v>
      </c>
      <c r="G15" s="6" t="str" cm="1">
        <f t="array" ref="G15">TRIM(INDEX(_xlfn.TEXTSPLIT(C15, " "), 4))</f>
        <v>&gt;</v>
      </c>
      <c r="H15" s="6" t="str" cm="1">
        <f t="array" ref="H15">_xlfn.LET(
    _xlpm.v, TRIM(INDEX(_xlfn.TEXTSPLIT(C15, " "), 5)),
    IF(RIGHT(_xlpm.v,1)=":", LEFT(_xlpm.v, LEN(_xlpm.v)-1), _xlpm.v)
)</f>
        <v>192.168.120.7.5432</v>
      </c>
      <c r="I15" s="6" t="str">
        <f t="shared" si="4"/>
        <v>Flags [.]</v>
      </c>
      <c r="J15" s="6" t="str">
        <f t="shared" ref="J15" si="9">IFERROR("seq " &amp; _xlfn.TEXTBEFORE(_xlfn.TEXTAFTER(C15,"seq "),","), "-")</f>
        <v>-</v>
      </c>
      <c r="K15" s="6" t="str">
        <f t="shared" si="1"/>
        <v>ack 15</v>
      </c>
      <c r="L15" s="6" t="str">
        <f t="shared" si="5"/>
        <v>win 502</v>
      </c>
      <c r="M15" s="6" t="str">
        <f t="shared" si="6"/>
        <v>options [nop,nop,TS val 201993132 ecr 553947610]</v>
      </c>
      <c r="N15" s="6" t="str">
        <f t="shared" si="7"/>
        <v>length 0</v>
      </c>
    </row>
    <row r="16" spans="1:14" x14ac:dyDescent="0.45">
      <c r="A16" s="6" t="str">
        <f t="shared" si="2"/>
        <v>ap-test⇒db-test</v>
      </c>
      <c r="B16" s="6" t="str">
        <f t="shared" ref="B16:B24" si="10">IF(F16="192.168.120.7.5432","返り","行き")</f>
        <v>行き</v>
      </c>
      <c r="C16" s="6" t="s">
        <v>973</v>
      </c>
      <c r="D16" s="6" t="str" cm="1">
        <f t="array" ref="D16">TRIM(INDEX(_xlfn.TEXTSPLIT(C16, " "), 1))</f>
        <v>20:07:24.786568</v>
      </c>
      <c r="E16" s="6" t="str" cm="1">
        <f t="array" ref="E16">TRIM(INDEX(_xlfn.TEXTSPLIT(C16, " "), 2))</f>
        <v>IP</v>
      </c>
      <c r="F16" s="6" t="str" cm="1">
        <f t="array" ref="F16">TRIM(INDEX(_xlfn.TEXTSPLIT(C16, " "), 3))</f>
        <v>192.168.110.10.60860</v>
      </c>
      <c r="G16" s="6" t="str" cm="1">
        <f t="array" ref="G16">TRIM(INDEX(_xlfn.TEXTSPLIT(C16, " "), 4))</f>
        <v>&gt;</v>
      </c>
      <c r="H16" s="6" t="str" cm="1">
        <f t="array" ref="H16">_xlfn.LET(
    _xlpm.v, TRIM(INDEX(_xlfn.TEXTSPLIT(C16, " "), 5)),
    IF(RIGHT(_xlpm.v,1)=":", LEFT(_xlpm.v, LEN(_xlpm.v)-1), _xlpm.v)
)</f>
        <v>192.168.120.7.5432</v>
      </c>
      <c r="I16" s="6" t="str">
        <f t="shared" ref="I16:I24" si="11">"Flags [" &amp; _xlfn.TEXTBEFORE(_xlfn.TEXTAFTER(C16,"Flags ["),"]") &amp; "]"</f>
        <v>Flags [P.]</v>
      </c>
      <c r="J16" s="6" t="str">
        <f t="shared" ref="J16:J24" si="12">IFERROR("seq " &amp; _xlfn.TEXTBEFORE(_xlfn.TEXTAFTER(C16,"seq "),","), "-")</f>
        <v>seq 46:87</v>
      </c>
      <c r="K16" s="6" t="str">
        <f t="shared" ref="K16:K24" si="13">IFERROR("ack " &amp; _xlfn.TEXTBEFORE(_xlfn.TEXTAFTER(C16,"ack "),","), "-")</f>
        <v>ack 15</v>
      </c>
      <c r="L16" s="6" t="str">
        <f t="shared" ref="L16:L24" si="14">IFERROR("win " &amp; _xlfn.TEXTBEFORE(_xlfn.TEXTAFTER(C16,"win "),","), "-")</f>
        <v>win 502</v>
      </c>
      <c r="M16" s="6" t="str">
        <f t="shared" ref="M16:M24" si="15">IFERROR("options [" &amp; _xlfn.TEXTBEFORE(_xlfn.TEXTAFTER(C16,"options ["),"]") &amp; "]","-")</f>
        <v>options [nop,nop,TS val 201993197 ecr 553947610]</v>
      </c>
      <c r="N16" s="6" t="str">
        <f t="shared" ref="N16:N24" si="16">TRIM(MID(C16, FIND("length ", C16), LEN(C16) - FIND("length ", C16) + 1))</f>
        <v>length 41</v>
      </c>
    </row>
    <row r="17" spans="1:14" x14ac:dyDescent="0.45">
      <c r="A17" s="6" t="str">
        <f t="shared" si="2"/>
        <v>db-test⇒ap-test</v>
      </c>
      <c r="B17" s="6" t="str">
        <f t="shared" si="10"/>
        <v>返り</v>
      </c>
      <c r="C17" s="6" t="s">
        <v>974</v>
      </c>
      <c r="D17" s="6" t="str" cm="1">
        <f t="array" ref="D17">TRIM(INDEX(_xlfn.TEXTSPLIT(C17, " "), 1))</f>
        <v>20:07:24.827453</v>
      </c>
      <c r="E17" s="6" t="str" cm="1">
        <f t="array" ref="E17">TRIM(INDEX(_xlfn.TEXTSPLIT(C17, " "), 2))</f>
        <v>IP</v>
      </c>
      <c r="F17" s="6" t="str" cm="1">
        <f t="array" ref="F17">TRIM(INDEX(_xlfn.TEXTSPLIT(C17, " "), 3))</f>
        <v>192.168.120.7.5432</v>
      </c>
      <c r="G17" s="6" t="str" cm="1">
        <f t="array" ref="G17">TRIM(INDEX(_xlfn.TEXTSPLIT(C17, " "), 4))</f>
        <v>&gt;</v>
      </c>
      <c r="H17" s="6" t="str" cm="1">
        <f t="array" ref="H17">_xlfn.LET(
    _xlpm.v, TRIM(INDEX(_xlfn.TEXTSPLIT(C17, " "), 5)),
    IF(RIGHT(_xlpm.v,1)=":", LEFT(_xlpm.v, LEN(_xlpm.v)-1), _xlpm.v)
)</f>
        <v>192.168.110.10.60860</v>
      </c>
      <c r="I17" s="6" t="str">
        <f t="shared" si="11"/>
        <v>Flags [.]</v>
      </c>
      <c r="J17" s="6" t="str">
        <f t="shared" si="12"/>
        <v>-</v>
      </c>
      <c r="K17" s="6" t="str">
        <f t="shared" si="13"/>
        <v>ack 87</v>
      </c>
      <c r="L17" s="6" t="str">
        <f t="shared" si="14"/>
        <v>win 509</v>
      </c>
      <c r="M17" s="6" t="str">
        <f t="shared" si="15"/>
        <v>options [nop,nop,TS val 553947759 ecr 201993197]</v>
      </c>
      <c r="N17" s="6" t="str">
        <f t="shared" si="16"/>
        <v>length 0</v>
      </c>
    </row>
    <row r="18" spans="1:14" x14ac:dyDescent="0.45">
      <c r="A18" s="6" t="str">
        <f t="shared" si="2"/>
        <v>db-test⇒ap-test</v>
      </c>
      <c r="B18" s="6" t="str">
        <f t="shared" si="10"/>
        <v>返り</v>
      </c>
      <c r="C18" s="6" t="s">
        <v>975</v>
      </c>
      <c r="D18" s="6" t="str" cm="1">
        <f t="array" ref="D18">TRIM(INDEX(_xlfn.TEXTSPLIT(C18, " "), 1))</f>
        <v>20:07:24.859482</v>
      </c>
      <c r="E18" s="6" t="str" cm="1">
        <f t="array" ref="E18">TRIM(INDEX(_xlfn.TEXTSPLIT(C18, " "), 2))</f>
        <v>IP</v>
      </c>
      <c r="F18" s="6" t="str" cm="1">
        <f t="array" ref="F18">TRIM(INDEX(_xlfn.TEXTSPLIT(C18, " "), 3))</f>
        <v>192.168.120.7.5432</v>
      </c>
      <c r="G18" s="6" t="str" cm="1">
        <f t="array" ref="G18">TRIM(INDEX(_xlfn.TEXTSPLIT(C18, " "), 4))</f>
        <v>&gt;</v>
      </c>
      <c r="H18" s="6" t="str" cm="1">
        <f t="array" ref="H18">_xlfn.LET(
    _xlpm.v, TRIM(INDEX(_xlfn.TEXTSPLIT(C18, " "), 5)),
    IF(RIGHT(_xlpm.v,1)=":", LEFT(_xlpm.v, LEN(_xlpm.v)-1), _xlpm.v)
)</f>
        <v>192.168.110.10.60860</v>
      </c>
      <c r="I18" s="6" t="str">
        <f t="shared" si="11"/>
        <v>Flags [P.]</v>
      </c>
      <c r="J18" s="6" t="str">
        <f t="shared" si="12"/>
        <v>seq 15:346</v>
      </c>
      <c r="K18" s="6" t="str">
        <f t="shared" si="13"/>
        <v>ack 87</v>
      </c>
      <c r="L18" s="6" t="str">
        <f t="shared" si="14"/>
        <v>win 509</v>
      </c>
      <c r="M18" s="6" t="str">
        <f t="shared" si="15"/>
        <v>options [nop,nop,TS val 553947791 ecr 201993197]</v>
      </c>
      <c r="N18" s="6" t="str">
        <f t="shared" si="16"/>
        <v>length 331</v>
      </c>
    </row>
    <row r="19" spans="1:14" x14ac:dyDescent="0.45">
      <c r="A19" s="6" t="str">
        <f t="shared" si="2"/>
        <v>ap-test⇒db-test</v>
      </c>
      <c r="B19" s="6" t="str">
        <f t="shared" si="10"/>
        <v>行き</v>
      </c>
      <c r="C19" s="6" t="s">
        <v>976</v>
      </c>
      <c r="D19" s="6" t="str" cm="1">
        <f t="array" ref="D19">TRIM(INDEX(_xlfn.TEXTSPLIT(C19, " "), 1))</f>
        <v>20:07:24.860340</v>
      </c>
      <c r="E19" s="6" t="str" cm="1">
        <f t="array" ref="E19">TRIM(INDEX(_xlfn.TEXTSPLIT(C19, " "), 2))</f>
        <v>IP</v>
      </c>
      <c r="F19" s="6" t="str" cm="1">
        <f t="array" ref="F19">TRIM(INDEX(_xlfn.TEXTSPLIT(C19, " "), 3))</f>
        <v>192.168.110.10.60860</v>
      </c>
      <c r="G19" s="6" t="str" cm="1">
        <f t="array" ref="G19">TRIM(INDEX(_xlfn.TEXTSPLIT(C19, " "), 4))</f>
        <v>&gt;</v>
      </c>
      <c r="H19" s="6" t="str" cm="1">
        <f t="array" ref="H19">_xlfn.LET(
    _xlpm.v, TRIM(INDEX(_xlfn.TEXTSPLIT(C19, " "), 5)),
    IF(RIGHT(_xlpm.v,1)=":", LEFT(_xlpm.v, LEN(_xlpm.v)-1), _xlpm.v)
)</f>
        <v>192.168.120.7.5432</v>
      </c>
      <c r="I19" s="6" t="str">
        <f t="shared" si="11"/>
        <v>Flags [.]</v>
      </c>
      <c r="J19" s="6" t="str">
        <f t="shared" si="12"/>
        <v>-</v>
      </c>
      <c r="K19" s="6" t="str">
        <f t="shared" si="13"/>
        <v>ack 346</v>
      </c>
      <c r="L19" s="6" t="str">
        <f t="shared" si="14"/>
        <v>win 501</v>
      </c>
      <c r="M19" s="6" t="str">
        <f t="shared" si="15"/>
        <v>options [nop,nop,TS val 201993271 ecr 553947791]</v>
      </c>
      <c r="N19" s="6" t="str">
        <f t="shared" si="16"/>
        <v>length 0</v>
      </c>
    </row>
    <row r="20" spans="1:14" x14ac:dyDescent="0.45">
      <c r="A20" s="6" t="str">
        <f t="shared" si="2"/>
        <v>ap-test⇒db-test</v>
      </c>
      <c r="B20" s="6" t="str">
        <f t="shared" si="10"/>
        <v>行き</v>
      </c>
      <c r="C20" s="6" t="s">
        <v>977</v>
      </c>
      <c r="D20" s="6" t="str" cm="1">
        <f t="array" ref="D20">TRIM(INDEX(_xlfn.TEXTSPLIT(C20, " "), 1))</f>
        <v>20:07:24.860341</v>
      </c>
      <c r="E20" s="6" t="str" cm="1">
        <f t="array" ref="E20">TRIM(INDEX(_xlfn.TEXTSPLIT(C20, " "), 2))</f>
        <v>IP</v>
      </c>
      <c r="F20" s="6" t="str" cm="1">
        <f t="array" ref="F20">TRIM(INDEX(_xlfn.TEXTSPLIT(C20, " "), 3))</f>
        <v>192.168.110.10.60860</v>
      </c>
      <c r="G20" s="6" t="str" cm="1">
        <f t="array" ref="G20">TRIM(INDEX(_xlfn.TEXTSPLIT(C20, " "), 4))</f>
        <v>&gt;</v>
      </c>
      <c r="H20" s="6" t="str" cm="1">
        <f t="array" ref="H20">_xlfn.LET(
    _xlpm.v, TRIM(INDEX(_xlfn.TEXTSPLIT(C20, " "), 5)),
    IF(RIGHT(_xlpm.v,1)=":", LEFT(_xlpm.v, LEN(_xlpm.v)-1), _xlpm.v)
)</f>
        <v>192.168.120.7.5432</v>
      </c>
      <c r="I20" s="6" t="str">
        <f t="shared" si="11"/>
        <v>Flags [P.]</v>
      </c>
      <c r="J20" s="6" t="str">
        <f t="shared" si="12"/>
        <v>seq 87:92</v>
      </c>
      <c r="K20" s="6" t="str">
        <f t="shared" si="13"/>
        <v>ack 346</v>
      </c>
      <c r="L20" s="6" t="str">
        <f t="shared" si="14"/>
        <v>win 501</v>
      </c>
      <c r="M20" s="6" t="str">
        <f t="shared" si="15"/>
        <v>options [nop,nop,TS val 201993271 ecr 553947791]</v>
      </c>
      <c r="N20" s="6" t="str">
        <f t="shared" si="16"/>
        <v>length 5</v>
      </c>
    </row>
    <row r="21" spans="1:14" x14ac:dyDescent="0.45">
      <c r="A21" s="6" t="str">
        <f t="shared" si="2"/>
        <v>ap-test⇒db-test</v>
      </c>
      <c r="B21" s="6" t="str">
        <f t="shared" si="10"/>
        <v>行き</v>
      </c>
      <c r="C21" s="6" t="s">
        <v>978</v>
      </c>
      <c r="D21" s="6" t="str" cm="1">
        <f t="array" ref="D21">TRIM(INDEX(_xlfn.TEXTSPLIT(C21, " "), 1))</f>
        <v>20:07:24.860341</v>
      </c>
      <c r="E21" s="6" t="str" cm="1">
        <f t="array" ref="E21">TRIM(INDEX(_xlfn.TEXTSPLIT(C21, " "), 2))</f>
        <v>IP</v>
      </c>
      <c r="F21" s="6" t="str" cm="1">
        <f t="array" ref="F21">TRIM(INDEX(_xlfn.TEXTSPLIT(C21, " "), 3))</f>
        <v>192.168.110.10.60860</v>
      </c>
      <c r="G21" s="6" t="str" cm="1">
        <f t="array" ref="G21">TRIM(INDEX(_xlfn.TEXTSPLIT(C21, " "), 4))</f>
        <v>&gt;</v>
      </c>
      <c r="H21" s="6" t="str" cm="1">
        <f t="array" ref="H21">_xlfn.LET(
    _xlpm.v, TRIM(INDEX(_xlfn.TEXTSPLIT(C21, " "), 5)),
    IF(RIGHT(_xlpm.v,1)=":", LEFT(_xlpm.v, LEN(_xlpm.v)-1), _xlpm.v)
)</f>
        <v>192.168.120.7.5432</v>
      </c>
      <c r="I21" s="6" t="str">
        <f t="shared" si="11"/>
        <v>Flags [F.]</v>
      </c>
      <c r="J21" s="6" t="str">
        <f t="shared" si="12"/>
        <v>seq 92</v>
      </c>
      <c r="K21" s="6" t="str">
        <f t="shared" si="13"/>
        <v>ack 346</v>
      </c>
      <c r="L21" s="6" t="str">
        <f t="shared" si="14"/>
        <v>win 501</v>
      </c>
      <c r="M21" s="6" t="str">
        <f t="shared" si="15"/>
        <v>options [nop,nop,TS val 201993271 ecr 553947791]</v>
      </c>
      <c r="N21" s="6" t="str">
        <f t="shared" si="16"/>
        <v>length 0</v>
      </c>
    </row>
    <row r="22" spans="1:14" x14ac:dyDescent="0.45">
      <c r="A22" s="6" t="str">
        <f t="shared" si="2"/>
        <v>db-test⇒ap-test</v>
      </c>
      <c r="B22" s="6" t="str">
        <f t="shared" si="10"/>
        <v>返り</v>
      </c>
      <c r="C22" s="6" t="s">
        <v>979</v>
      </c>
      <c r="D22" s="6" t="str" cm="1">
        <f t="array" ref="D22">TRIM(INDEX(_xlfn.TEXTSPLIT(C22, " "), 1))</f>
        <v>20:07:24.860367</v>
      </c>
      <c r="E22" s="6" t="str" cm="1">
        <f t="array" ref="E22">TRIM(INDEX(_xlfn.TEXTSPLIT(C22, " "), 2))</f>
        <v>IP</v>
      </c>
      <c r="F22" s="6" t="str" cm="1">
        <f t="array" ref="F22">TRIM(INDEX(_xlfn.TEXTSPLIT(C22, " "), 3))</f>
        <v>192.168.120.7.5432</v>
      </c>
      <c r="G22" s="6" t="str" cm="1">
        <f t="array" ref="G22">TRIM(INDEX(_xlfn.TEXTSPLIT(C22, " "), 4))</f>
        <v>&gt;</v>
      </c>
      <c r="H22" s="6" t="str" cm="1">
        <f t="array" ref="H22">_xlfn.LET(
    _xlpm.v, TRIM(INDEX(_xlfn.TEXTSPLIT(C22, " "), 5)),
    IF(RIGHT(_xlpm.v,1)=":", LEFT(_xlpm.v, LEN(_xlpm.v)-1), _xlpm.v)
)</f>
        <v>192.168.110.10.60860</v>
      </c>
      <c r="I22" s="6" t="str">
        <f t="shared" si="11"/>
        <v>Flags [.]</v>
      </c>
      <c r="J22" s="6" t="str">
        <f t="shared" si="12"/>
        <v>-</v>
      </c>
      <c r="K22" s="6" t="str">
        <f t="shared" si="13"/>
        <v>ack 92</v>
      </c>
      <c r="L22" s="6" t="str">
        <f t="shared" si="14"/>
        <v>win 509</v>
      </c>
      <c r="M22" s="6" t="str">
        <f t="shared" si="15"/>
        <v>options [nop,nop,TS val 553947792 ecr 201993271]</v>
      </c>
      <c r="N22" s="6" t="str">
        <f t="shared" si="16"/>
        <v>length 0</v>
      </c>
    </row>
    <row r="23" spans="1:14" x14ac:dyDescent="0.45">
      <c r="A23" s="6" t="str">
        <f t="shared" si="2"/>
        <v>db-test⇒ap-test</v>
      </c>
      <c r="B23" s="6" t="str">
        <f t="shared" si="10"/>
        <v>返り</v>
      </c>
      <c r="C23" s="6" t="s">
        <v>980</v>
      </c>
      <c r="D23" s="6" t="str" cm="1">
        <f t="array" ref="D23">TRIM(INDEX(_xlfn.TEXTSPLIT(C23, " "), 1))</f>
        <v>20:07:24.861384</v>
      </c>
      <c r="E23" s="6" t="str" cm="1">
        <f t="array" ref="E23">TRIM(INDEX(_xlfn.TEXTSPLIT(C23, " "), 2))</f>
        <v>IP</v>
      </c>
      <c r="F23" s="6" t="str" cm="1">
        <f t="array" ref="F23">TRIM(INDEX(_xlfn.TEXTSPLIT(C23, " "), 3))</f>
        <v>192.168.120.7.5432</v>
      </c>
      <c r="G23" s="6" t="str" cm="1">
        <f t="array" ref="G23">TRIM(INDEX(_xlfn.TEXTSPLIT(C23, " "), 4))</f>
        <v>&gt;</v>
      </c>
      <c r="H23" s="6" t="str" cm="1">
        <f t="array" ref="H23">_xlfn.LET(
    _xlpm.v, TRIM(INDEX(_xlfn.TEXTSPLIT(C23, " "), 5)),
    IF(RIGHT(_xlpm.v,1)=":", LEFT(_xlpm.v, LEN(_xlpm.v)-1), _xlpm.v)
)</f>
        <v>192.168.110.10.60860</v>
      </c>
      <c r="I23" s="6" t="str">
        <f t="shared" si="11"/>
        <v>Flags [F.]</v>
      </c>
      <c r="J23" s="6" t="str">
        <f t="shared" si="12"/>
        <v>seq 346</v>
      </c>
      <c r="K23" s="6" t="str">
        <f t="shared" si="13"/>
        <v>ack 93</v>
      </c>
      <c r="L23" s="6" t="str">
        <f t="shared" si="14"/>
        <v>win 509</v>
      </c>
      <c r="M23" s="6" t="str">
        <f t="shared" si="15"/>
        <v>options [nop,nop,TS val 553947793 ecr 201993271]</v>
      </c>
      <c r="N23" s="6" t="str">
        <f t="shared" si="16"/>
        <v>length 0</v>
      </c>
    </row>
    <row r="24" spans="1:14" x14ac:dyDescent="0.45">
      <c r="A24" s="6" t="str">
        <f t="shared" si="2"/>
        <v>ap-test⇒db-test</v>
      </c>
      <c r="B24" s="6" t="str">
        <f t="shared" si="10"/>
        <v>行き</v>
      </c>
      <c r="C24" s="6" t="s">
        <v>981</v>
      </c>
      <c r="D24" s="6" t="str" cm="1">
        <f t="array" ref="D24">TRIM(INDEX(_xlfn.TEXTSPLIT(C24, " "), 1))</f>
        <v>20:07:24.862123</v>
      </c>
      <c r="E24" s="6" t="str" cm="1">
        <f t="array" ref="E24">TRIM(INDEX(_xlfn.TEXTSPLIT(C24, " "), 2))</f>
        <v>IP</v>
      </c>
      <c r="F24" s="6" t="str" cm="1">
        <f t="array" ref="F24">TRIM(INDEX(_xlfn.TEXTSPLIT(C24, " "), 3))</f>
        <v>192.168.110.10.60860</v>
      </c>
      <c r="G24" s="6" t="str" cm="1">
        <f t="array" ref="G24">TRIM(INDEX(_xlfn.TEXTSPLIT(C24, " "), 4))</f>
        <v>&gt;</v>
      </c>
      <c r="H24" s="6" t="str" cm="1">
        <f t="array" ref="H24">_xlfn.LET(
    _xlpm.v, TRIM(INDEX(_xlfn.TEXTSPLIT(C24, " "), 5)),
    IF(RIGHT(_xlpm.v,1)=":", LEFT(_xlpm.v, LEN(_xlpm.v)-1), _xlpm.v)
)</f>
        <v>192.168.120.7.5432</v>
      </c>
      <c r="I24" s="6" t="str">
        <f t="shared" si="11"/>
        <v>Flags [.]</v>
      </c>
      <c r="J24" s="6" t="str">
        <f t="shared" si="12"/>
        <v>-</v>
      </c>
      <c r="K24" s="6" t="str">
        <f t="shared" si="13"/>
        <v>ack 347</v>
      </c>
      <c r="L24" s="6" t="str">
        <f t="shared" si="14"/>
        <v>win 501</v>
      </c>
      <c r="M24" s="6" t="str">
        <f t="shared" si="15"/>
        <v>options [nop,nop,TS val 201993273 ecr 553947793]</v>
      </c>
      <c r="N24" s="6" t="str">
        <f t="shared" si="16"/>
        <v>length 0</v>
      </c>
    </row>
    <row r="25" spans="1:14" x14ac:dyDescent="0.45">
      <c r="A25" s="4" t="s">
        <v>48</v>
      </c>
    </row>
    <row r="27" spans="1:14" x14ac:dyDescent="0.45">
      <c r="A27" s="12" t="s">
        <v>164</v>
      </c>
    </row>
    <row r="28" spans="1:14" x14ac:dyDescent="0.45">
      <c r="A28" s="4" t="s">
        <v>961</v>
      </c>
    </row>
    <row r="29" spans="1:14" x14ac:dyDescent="0.45">
      <c r="A29" s="4" t="s">
        <v>962</v>
      </c>
    </row>
    <row r="30" spans="1:14" x14ac:dyDescent="0.45">
      <c r="A30" s="4" t="s">
        <v>35</v>
      </c>
    </row>
    <row r="31" spans="1:14" x14ac:dyDescent="0.45">
      <c r="A31" s="4" t="s">
        <v>36</v>
      </c>
    </row>
    <row r="32" spans="1:14" x14ac:dyDescent="0.45">
      <c r="A32" s="4" t="s">
        <v>32</v>
      </c>
    </row>
    <row r="33" spans="1:1" x14ac:dyDescent="0.45">
      <c r="A33" s="23" t="s">
        <v>963</v>
      </c>
    </row>
    <row r="34" spans="1:1" x14ac:dyDescent="0.45">
      <c r="A34" s="23" t="s">
        <v>986</v>
      </c>
    </row>
    <row r="35" spans="1:1" x14ac:dyDescent="0.45">
      <c r="A35" s="23" t="s">
        <v>965</v>
      </c>
    </row>
    <row r="36" spans="1:1" x14ac:dyDescent="0.45">
      <c r="A36" s="23" t="s">
        <v>966</v>
      </c>
    </row>
    <row r="37" spans="1:1" x14ac:dyDescent="0.45">
      <c r="A37" s="23" t="s">
        <v>967</v>
      </c>
    </row>
    <row r="38" spans="1:1" x14ac:dyDescent="0.45">
      <c r="A38" s="23" t="s">
        <v>968</v>
      </c>
    </row>
    <row r="39" spans="1:1" x14ac:dyDescent="0.45">
      <c r="A39" s="23" t="s">
        <v>969</v>
      </c>
    </row>
    <row r="40" spans="1:1" x14ac:dyDescent="0.45">
      <c r="A40" s="23" t="s">
        <v>970</v>
      </c>
    </row>
    <row r="41" spans="1:1" x14ac:dyDescent="0.45">
      <c r="A41" s="23" t="s">
        <v>971</v>
      </c>
    </row>
    <row r="42" spans="1:1" x14ac:dyDescent="0.45">
      <c r="A42" s="23" t="s">
        <v>972</v>
      </c>
    </row>
    <row r="43" spans="1:1" x14ac:dyDescent="0.45">
      <c r="A43" s="23" t="s">
        <v>973</v>
      </c>
    </row>
    <row r="44" spans="1:1" x14ac:dyDescent="0.45">
      <c r="A44" s="23" t="s">
        <v>974</v>
      </c>
    </row>
    <row r="45" spans="1:1" x14ac:dyDescent="0.45">
      <c r="A45" s="23" t="s">
        <v>975</v>
      </c>
    </row>
    <row r="46" spans="1:1" x14ac:dyDescent="0.45">
      <c r="A46" s="23" t="s">
        <v>976</v>
      </c>
    </row>
    <row r="47" spans="1:1" x14ac:dyDescent="0.45">
      <c r="A47" s="23" t="s">
        <v>977</v>
      </c>
    </row>
    <row r="48" spans="1:1" x14ac:dyDescent="0.45">
      <c r="A48" s="23" t="s">
        <v>978</v>
      </c>
    </row>
    <row r="49" spans="1:1" x14ac:dyDescent="0.45">
      <c r="A49" s="23" t="s">
        <v>979</v>
      </c>
    </row>
    <row r="50" spans="1:1" x14ac:dyDescent="0.45">
      <c r="A50" s="23" t="s">
        <v>980</v>
      </c>
    </row>
    <row r="51" spans="1:1" x14ac:dyDescent="0.45">
      <c r="A51" s="23" t="s">
        <v>981</v>
      </c>
    </row>
    <row r="52" spans="1:1" x14ac:dyDescent="0.45">
      <c r="A52" s="4" t="s">
        <v>982</v>
      </c>
    </row>
    <row r="54" spans="1:1" x14ac:dyDescent="0.45">
      <c r="A54" s="4" t="s">
        <v>983</v>
      </c>
    </row>
    <row r="55" spans="1:1" x14ac:dyDescent="0.45">
      <c r="A55" s="4" t="s">
        <v>984</v>
      </c>
    </row>
    <row r="56" spans="1:1" x14ac:dyDescent="0.45">
      <c r="A56" s="4" t="s">
        <v>38</v>
      </c>
    </row>
    <row r="57" spans="1:1" x14ac:dyDescent="0.45">
      <c r="A57" s="4" t="s">
        <v>564</v>
      </c>
    </row>
    <row r="59" spans="1:1" x14ac:dyDescent="0.45">
      <c r="A59" s="12" t="s">
        <v>985</v>
      </c>
    </row>
    <row r="60" spans="1:1" x14ac:dyDescent="0.45">
      <c r="A60" s="4" t="s">
        <v>959</v>
      </c>
    </row>
    <row r="61" spans="1:1" x14ac:dyDescent="0.45">
      <c r="A61" s="4" t="s">
        <v>960</v>
      </c>
    </row>
    <row r="62" spans="1:1" x14ac:dyDescent="0.45">
      <c r="A62" s="4" t="s">
        <v>560</v>
      </c>
    </row>
    <row r="67" spans="1:1" x14ac:dyDescent="0.45">
      <c r="A67" s="12"/>
    </row>
    <row r="68" spans="1:1" x14ac:dyDescent="0.45">
      <c r="A68" s="12"/>
    </row>
    <row r="69" spans="1:1" x14ac:dyDescent="0.45">
      <c r="A69" s="12"/>
    </row>
    <row r="104" spans="1:1" x14ac:dyDescent="0.45">
      <c r="A104" s="12"/>
    </row>
    <row r="168" spans="1:1" x14ac:dyDescent="0.45">
      <c r="A168" s="12"/>
    </row>
    <row r="231" spans="1:1" x14ac:dyDescent="0.45">
      <c r="A231" s="12"/>
    </row>
  </sheetData>
  <phoneticPr fontId="1"/>
  <conditionalFormatting sqref="A5:C5 A6:N25">
    <cfRule type="expression" dxfId="3" priority="1">
      <formula>$B5="返り"</formula>
    </cfRule>
    <cfRule type="expression" dxfId="2" priority="2">
      <formula>$B5="行き"</formula>
    </cfRule>
  </conditionalFormatting>
  <hyperlinks>
    <hyperlink ref="A1" location="通信要件一覧!A1" display="※「通信要件一覧」シートに戻る" xr:uid="{5E5AA17D-7848-45F9-9F0B-E7799AAC6F8D}"/>
  </hyperlinks>
  <pageMargins left="0.7" right="0.7" top="0.75" bottom="0.75" header="0.3" footer="0.3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6F46-E234-4F57-AD4F-FD12A92BB031}">
  <dimension ref="A1:M543"/>
  <sheetViews>
    <sheetView view="pageBreakPreview" zoomScaleNormal="100" zoomScaleSheetLayoutView="100" workbookViewId="0"/>
  </sheetViews>
  <sheetFormatPr defaultRowHeight="15.75" x14ac:dyDescent="0.45"/>
  <cols>
    <col min="1" max="1" width="29.6640625" style="4" customWidth="1"/>
    <col min="2" max="2" width="9" style="4" bestFit="1" customWidth="1"/>
    <col min="3" max="3" width="11.88671875" style="4" customWidth="1"/>
    <col min="4" max="4" width="16" style="4" bestFit="1" customWidth="1"/>
    <col min="5" max="5" width="12.21875" style="4" bestFit="1" customWidth="1"/>
    <col min="6" max="6" width="14.6640625" style="4" bestFit="1" customWidth="1"/>
    <col min="7" max="7" width="8.21875" style="4" bestFit="1" customWidth="1"/>
    <col min="8" max="8" width="14.6640625" style="4" bestFit="1" customWidth="1"/>
    <col min="9" max="9" width="12.21875" style="4" bestFit="1" customWidth="1"/>
    <col min="10" max="10" width="13.109375" style="4" bestFit="1" customWidth="1"/>
    <col min="11" max="11" width="9" style="4" bestFit="1" customWidth="1"/>
    <col min="12" max="12" width="11.5546875" style="4" bestFit="1" customWidth="1"/>
    <col min="13" max="13" width="11.109375" style="4" bestFit="1" customWidth="1"/>
    <col min="14" max="14" width="3.44140625" style="4" bestFit="1" customWidth="1"/>
    <col min="15" max="15" width="14.6640625" style="4" bestFit="1" customWidth="1"/>
    <col min="16" max="16" width="3.109375" style="4" bestFit="1" customWidth="1"/>
    <col min="17" max="17" width="14.6640625" style="4" bestFit="1" customWidth="1"/>
    <col min="18" max="18" width="5.77734375" style="4" bestFit="1" customWidth="1"/>
    <col min="19" max="19" width="12.33203125" style="4" bestFit="1" customWidth="1"/>
    <col min="20" max="20" width="5.6640625" style="4" bestFit="1" customWidth="1"/>
    <col min="21" max="21" width="6" style="4" bestFit="1" customWidth="1"/>
    <col min="22" max="22" width="9.21875" style="4" bestFit="1" customWidth="1"/>
    <col min="23" max="16384" width="8.88671875" style="4"/>
  </cols>
  <sheetData>
    <row r="1" spans="1:13" x14ac:dyDescent="0.45">
      <c r="A1" s="9" t="s">
        <v>56</v>
      </c>
    </row>
    <row r="2" spans="1:13" x14ac:dyDescent="0.45">
      <c r="A2" s="12" t="s">
        <v>93</v>
      </c>
    </row>
    <row r="3" spans="1:13" x14ac:dyDescent="0.45">
      <c r="A3" s="12" t="s">
        <v>94</v>
      </c>
    </row>
    <row r="4" spans="1:13" x14ac:dyDescent="0.45">
      <c r="A4" s="12" t="s">
        <v>95</v>
      </c>
    </row>
    <row r="5" spans="1:13" x14ac:dyDescent="0.45">
      <c r="A5" s="68" t="s">
        <v>994</v>
      </c>
      <c r="B5" s="68" t="s">
        <v>92</v>
      </c>
      <c r="C5" s="68" t="s">
        <v>91</v>
      </c>
      <c r="D5" s="68" t="s">
        <v>30</v>
      </c>
      <c r="E5" s="68" t="s">
        <v>31</v>
      </c>
      <c r="F5" s="68" t="s">
        <v>42</v>
      </c>
      <c r="G5" s="68" t="s">
        <v>33</v>
      </c>
      <c r="H5" s="68" t="s">
        <v>41</v>
      </c>
      <c r="I5" s="68" t="s">
        <v>47</v>
      </c>
      <c r="J5" s="68" t="s">
        <v>46</v>
      </c>
      <c r="K5" s="68" t="s">
        <v>44</v>
      </c>
      <c r="L5" s="68" t="s">
        <v>43</v>
      </c>
      <c r="M5" s="68" t="s">
        <v>34</v>
      </c>
    </row>
    <row r="6" spans="1:13" x14ac:dyDescent="0.45">
      <c r="A6" s="39" t="s">
        <v>1034</v>
      </c>
      <c r="B6" s="39" t="str">
        <f>IF(J6="echo request","行き",IF(J6="echo reply","返り",""))</f>
        <v>行き</v>
      </c>
      <c r="C6" s="74" t="s">
        <v>1046</v>
      </c>
      <c r="D6" s="39" t="str" cm="1">
        <f t="array" ref="D6">TRIM(INDEX(_xlfn.TEXTSPLIT(C6, " "), 1))</f>
        <v>20:53:48.142522</v>
      </c>
      <c r="E6" s="39" t="str" cm="1">
        <f t="array" ref="E6">TRIM(INDEX(_xlfn.TEXTSPLIT(C6, " "), 2))</f>
        <v>IP</v>
      </c>
      <c r="F6" s="39" t="str" cm="1">
        <f t="array" ref="F6">TRIM(INDEX(_xlfn.TEXTSPLIT(C6, " "), 3))</f>
        <v>192.168.100.28</v>
      </c>
      <c r="G6" s="39" t="str" cm="1">
        <f t="array" ref="G6">TRIM(INDEX(_xlfn.TEXTSPLIT(C6, " "), 4))</f>
        <v>&gt;</v>
      </c>
      <c r="H6" s="39" t="str" cm="1">
        <f t="array" ref="H6">_xlfn.LET(
    _xlpm.v, TRIM(INDEX(_xlfn.TEXTSPLIT(C6, " "), 5)),
    IF(RIGHT(_xlpm.v,1)=":", LEFT(_xlpm.v, LEN(_xlpm.v)-1), _xlpm.v)
)</f>
        <v>192.168.100.26</v>
      </c>
      <c r="I6" s="39" t="str" cm="1">
        <f t="array" ref="I6">TRIM(INDEX(_xlfn.TEXTSPLIT(C6, " "), 6))</f>
        <v>ICMP</v>
      </c>
      <c r="J6" s="39" t="str">
        <f>TRIM(MID(
    C6,
    FIND("ICMP", C6) + 5,
    FIND(",", C6, FIND("ICMP", C6)) - (FIND("ICMP", C6) + 5)
))</f>
        <v>echo request</v>
      </c>
      <c r="K6" s="39" t="str">
        <f t="shared" ref="K6:K11" si="0">IFERROR("id " &amp; _xlfn.TEXTBEFORE(_xlfn.TEXTAFTER(C6,"id "),","), "-")</f>
        <v>id 1</v>
      </c>
      <c r="L6" s="39" t="str">
        <f>IFERROR("seq " &amp; _xlfn.TEXTBEFORE(_xlfn.TEXTAFTER(C6,"seq "),","), "-")</f>
        <v>seq 1</v>
      </c>
      <c r="M6" s="39" t="str">
        <f>TRIM(MID(C6, FIND("length ", C6), LEN(C6) - FIND("length ", C6) + 1))</f>
        <v>length 64</v>
      </c>
    </row>
    <row r="7" spans="1:13" x14ac:dyDescent="0.45">
      <c r="A7" s="39" t="s">
        <v>995</v>
      </c>
      <c r="B7" s="39" t="str">
        <f t="shared" ref="B7:B37" si="1">IF(J7="echo request","行き",IF(J7="echo reply","返り",""))</f>
        <v>返り</v>
      </c>
      <c r="C7" s="74" t="s">
        <v>1047</v>
      </c>
      <c r="D7" s="39" t="str" cm="1">
        <f t="array" ref="D7">TRIM(INDEX(_xlfn.TEXTSPLIT(C7, " "), 1))</f>
        <v>20:53:48.142578</v>
      </c>
      <c r="E7" s="39" t="str" cm="1">
        <f t="array" ref="E7">TRIM(INDEX(_xlfn.TEXTSPLIT(C7, " "), 2))</f>
        <v>IP</v>
      </c>
      <c r="F7" s="39" t="str" cm="1">
        <f t="array" ref="F7">TRIM(INDEX(_xlfn.TEXTSPLIT(C7, " "), 3))</f>
        <v>192.168.100.26</v>
      </c>
      <c r="G7" s="39" t="str" cm="1">
        <f t="array" ref="G7">TRIM(INDEX(_xlfn.TEXTSPLIT(C7, " "), 4))</f>
        <v>&gt;</v>
      </c>
      <c r="H7" s="39" t="str" cm="1">
        <f t="array" ref="H7">_xlfn.LET(
    _xlpm.v, TRIM(INDEX(_xlfn.TEXTSPLIT(C7, " "), 5)),
    IF(RIGHT(_xlpm.v,1)=":", LEFT(_xlpm.v, LEN(_xlpm.v)-1), _xlpm.v)
)</f>
        <v>192.168.100.28</v>
      </c>
      <c r="I7" s="39" t="str" cm="1">
        <f t="array" ref="I7">TRIM(INDEX(_xlfn.TEXTSPLIT(C7, " "), 6))</f>
        <v>ICMP</v>
      </c>
      <c r="J7" s="39" t="str">
        <f t="shared" ref="J7:J59" si="2">TRIM(MID(
    C7,
    FIND("ICMP", C7) + 5,
    FIND(",", C7, FIND("ICMP", C7)) - (FIND("ICMP", C7) + 5)
))</f>
        <v>echo reply</v>
      </c>
      <c r="K7" s="39" t="str">
        <f t="shared" si="0"/>
        <v>id 1</v>
      </c>
      <c r="L7" s="39" t="str">
        <f t="shared" ref="L7:L59" si="3">IFERROR("seq " &amp; _xlfn.TEXTBEFORE(_xlfn.TEXTAFTER(C7,"seq "),","), "-")</f>
        <v>seq 1</v>
      </c>
      <c r="M7" s="39" t="str">
        <f>TRIM(MID(C7, FIND("length ", C7), LEN(C7) - FIND("length ", C7) + 1))</f>
        <v>length 64</v>
      </c>
    </row>
    <row r="8" spans="1:13" x14ac:dyDescent="0.45">
      <c r="A8" s="39" t="s">
        <v>298</v>
      </c>
      <c r="B8" s="39" t="str">
        <f t="shared" si="1"/>
        <v>行き</v>
      </c>
      <c r="C8" s="74" t="s">
        <v>1056</v>
      </c>
      <c r="D8" s="39" t="str" cm="1">
        <f t="array" ref="D8">TRIM(INDEX(_xlfn.TEXTSPLIT(C8, " "), 1))</f>
        <v>20:57:07.074858</v>
      </c>
      <c r="E8" s="39" t="str" cm="1">
        <f t="array" ref="E8">TRIM(INDEX(_xlfn.TEXTSPLIT(C8, " "), 2))</f>
        <v>IP</v>
      </c>
      <c r="F8" s="39" t="str" cm="1">
        <f t="array" ref="F8">TRIM(INDEX(_xlfn.TEXTSPLIT(C8, " "), 3))</f>
        <v>192.168.100.28</v>
      </c>
      <c r="G8" s="39" t="str" cm="1">
        <f t="array" ref="G8">TRIM(INDEX(_xlfn.TEXTSPLIT(C8, " "), 4))</f>
        <v>&gt;</v>
      </c>
      <c r="H8" s="39" t="str" cm="1">
        <f t="array" ref="H8">_xlfn.LET(
    _xlpm.v, TRIM(INDEX(_xlfn.TEXTSPLIT(C8, " "), 5)),
    IF(RIGHT(_xlpm.v,1)=":", LEFT(_xlpm.v, LEN(_xlpm.v)-1), _xlpm.v)
)</f>
        <v>192.168.100.27</v>
      </c>
      <c r="I8" s="39" t="str" cm="1">
        <f t="array" ref="I8">TRIM(INDEX(_xlfn.TEXTSPLIT(C8, " "), 6))</f>
        <v>ICMP</v>
      </c>
      <c r="J8" s="39" t="str">
        <f t="shared" si="2"/>
        <v>echo request</v>
      </c>
      <c r="K8" s="39" t="str">
        <f t="shared" si="0"/>
        <v>id 3</v>
      </c>
      <c r="L8" s="39" t="str">
        <f t="shared" si="3"/>
        <v>seq 1</v>
      </c>
      <c r="M8" s="39" t="str">
        <f t="shared" ref="M8:M59" si="4">TRIM(MID(C8, FIND("length ", C8), LEN(C8) - FIND("length ", C8) + 1))</f>
        <v>length 64</v>
      </c>
    </row>
    <row r="9" spans="1:13" x14ac:dyDescent="0.45">
      <c r="A9" s="39" t="s">
        <v>299</v>
      </c>
      <c r="B9" s="39" t="str">
        <f t="shared" si="1"/>
        <v>返り</v>
      </c>
      <c r="C9" s="74" t="s">
        <v>1057</v>
      </c>
      <c r="D9" s="39" t="str" cm="1">
        <f t="array" ref="D9">TRIM(INDEX(_xlfn.TEXTSPLIT(C9, " "), 1))</f>
        <v>20:57:07.074957</v>
      </c>
      <c r="E9" s="39" t="str" cm="1">
        <f t="array" ref="E9">TRIM(INDEX(_xlfn.TEXTSPLIT(C9, " "), 2))</f>
        <v>IP</v>
      </c>
      <c r="F9" s="39" t="str" cm="1">
        <f t="array" ref="F9">TRIM(INDEX(_xlfn.TEXTSPLIT(C9, " "), 3))</f>
        <v>192.168.100.27</v>
      </c>
      <c r="G9" s="39" t="str" cm="1">
        <f t="array" ref="G9">TRIM(INDEX(_xlfn.TEXTSPLIT(C9, " "), 4))</f>
        <v>&gt;</v>
      </c>
      <c r="H9" s="39" t="str" cm="1">
        <f t="array" ref="H9">_xlfn.LET(
    _xlpm.v, TRIM(INDEX(_xlfn.TEXTSPLIT(C9, " "), 5)),
    IF(RIGHT(_xlpm.v,1)=":", LEFT(_xlpm.v, LEN(_xlpm.v)-1), _xlpm.v)
)</f>
        <v>192.168.100.28</v>
      </c>
      <c r="I9" s="39" t="str" cm="1">
        <f t="array" ref="I9">TRIM(INDEX(_xlfn.TEXTSPLIT(C9, " "), 6))</f>
        <v>ICMP</v>
      </c>
      <c r="J9" s="39" t="str">
        <f t="shared" si="2"/>
        <v>echo reply</v>
      </c>
      <c r="K9" s="39" t="str">
        <f t="shared" si="0"/>
        <v>id 3</v>
      </c>
      <c r="L9" s="39" t="str">
        <f t="shared" si="3"/>
        <v>seq 1</v>
      </c>
      <c r="M9" s="39" t="str">
        <f t="shared" si="4"/>
        <v>length 64</v>
      </c>
    </row>
    <row r="10" spans="1:13" x14ac:dyDescent="0.45">
      <c r="A10" s="39" t="s">
        <v>379</v>
      </c>
      <c r="B10" s="39" t="str">
        <f t="shared" si="1"/>
        <v>行き</v>
      </c>
      <c r="C10" s="74" t="s">
        <v>1074</v>
      </c>
      <c r="D10" s="39" t="str" cm="1">
        <f t="array" ref="D10">TRIM(INDEX(_xlfn.TEXTSPLIT(C10, " "), 1))</f>
        <v>20:59:51.086530</v>
      </c>
      <c r="E10" s="39" t="str" cm="1">
        <f t="array" ref="E10">TRIM(INDEX(_xlfn.TEXTSPLIT(C10, " "), 2))</f>
        <v>IP</v>
      </c>
      <c r="F10" s="39" t="str" cm="1">
        <f t="array" ref="F10">TRIM(INDEX(_xlfn.TEXTSPLIT(C10, " "), 3))</f>
        <v>192.168.100.28</v>
      </c>
      <c r="G10" s="39" t="str" cm="1">
        <f t="array" ref="G10">TRIM(INDEX(_xlfn.TEXTSPLIT(C10, " "), 4))</f>
        <v>&gt;</v>
      </c>
      <c r="H10" s="39" t="str" cm="1">
        <f t="array" ref="H10">_xlfn.LET(
    _xlpm.v, TRIM(INDEX(_xlfn.TEXTSPLIT(C10, " "), 5)),
    IF(RIGHT(_xlpm.v,1)=":", LEFT(_xlpm.v, LEN(_xlpm.v)-1), _xlpm.v)
)</f>
        <v>192.168.100.29</v>
      </c>
      <c r="I10" s="39" t="str" cm="1">
        <f t="array" ref="I10">TRIM(INDEX(_xlfn.TEXTSPLIT(C10, " "), 6))</f>
        <v>ICMP</v>
      </c>
      <c r="J10" s="39" t="str">
        <f t="shared" si="2"/>
        <v>echo request</v>
      </c>
      <c r="K10" s="39" t="str">
        <f t="shared" si="0"/>
        <v>id 4</v>
      </c>
      <c r="L10" s="39" t="str">
        <f t="shared" si="3"/>
        <v>seq 1</v>
      </c>
      <c r="M10" s="39" t="str">
        <f t="shared" si="4"/>
        <v>length 64</v>
      </c>
    </row>
    <row r="11" spans="1:13" x14ac:dyDescent="0.45">
      <c r="A11" s="39" t="s">
        <v>996</v>
      </c>
      <c r="B11" s="39" t="str">
        <f t="shared" si="1"/>
        <v>返り</v>
      </c>
      <c r="C11" s="74" t="s">
        <v>1075</v>
      </c>
      <c r="D11" s="39" t="str" cm="1">
        <f t="array" ref="D11">TRIM(INDEX(_xlfn.TEXTSPLIT(C11, " "), 1))</f>
        <v>20:59:51.086576</v>
      </c>
      <c r="E11" s="39" t="str" cm="1">
        <f t="array" ref="E11">TRIM(INDEX(_xlfn.TEXTSPLIT(C11, " "), 2))</f>
        <v>IP</v>
      </c>
      <c r="F11" s="39" t="str" cm="1">
        <f t="array" ref="F11">TRIM(INDEX(_xlfn.TEXTSPLIT(C11, " "), 3))</f>
        <v>192.168.100.29</v>
      </c>
      <c r="G11" s="39" t="str" cm="1">
        <f t="array" ref="G11">TRIM(INDEX(_xlfn.TEXTSPLIT(C11, " "), 4))</f>
        <v>&gt;</v>
      </c>
      <c r="H11" s="39" t="str" cm="1">
        <f t="array" ref="H11">_xlfn.LET(
    _xlpm.v, TRIM(INDEX(_xlfn.TEXTSPLIT(C11, " "), 5)),
    IF(RIGHT(_xlpm.v,1)=":", LEFT(_xlpm.v, LEN(_xlpm.v)-1), _xlpm.v)
)</f>
        <v>192.168.100.28</v>
      </c>
      <c r="I11" s="39" t="str" cm="1">
        <f t="array" ref="I11">TRIM(INDEX(_xlfn.TEXTSPLIT(C11, " "), 6))</f>
        <v>ICMP</v>
      </c>
      <c r="J11" s="39" t="str">
        <f t="shared" si="2"/>
        <v>echo reply</v>
      </c>
      <c r="K11" s="39" t="str">
        <f t="shared" si="0"/>
        <v>id 4</v>
      </c>
      <c r="L11" s="39" t="str">
        <f t="shared" si="3"/>
        <v>seq 1</v>
      </c>
      <c r="M11" s="39" t="str">
        <f t="shared" si="4"/>
        <v>length 64</v>
      </c>
    </row>
    <row r="12" spans="1:13" x14ac:dyDescent="0.45">
      <c r="A12" s="39" t="s">
        <v>387</v>
      </c>
      <c r="B12" s="39" t="str">
        <f t="shared" si="1"/>
        <v>行き</v>
      </c>
      <c r="C12" s="74" t="s">
        <v>1091</v>
      </c>
      <c r="D12" s="39" t="str" cm="1">
        <f t="array" ref="D12">TRIM(INDEX(_xlfn.TEXTSPLIT(C12, " "), 1))</f>
        <v>21:01:02.014428</v>
      </c>
      <c r="E12" s="39" t="str" cm="1">
        <f t="array" ref="E12">TRIM(INDEX(_xlfn.TEXTSPLIT(C12, " "), 2))</f>
        <v>IP</v>
      </c>
      <c r="F12" s="39" t="str" cm="1">
        <f t="array" ref="F12">TRIM(INDEX(_xlfn.TEXTSPLIT(C12, " "), 3))</f>
        <v>192.168.100.28</v>
      </c>
      <c r="G12" s="39" t="str" cm="1">
        <f t="array" ref="G12">TRIM(INDEX(_xlfn.TEXTSPLIT(C12, " "), 4))</f>
        <v>&gt;</v>
      </c>
      <c r="H12" s="39" t="str" cm="1">
        <f t="array" ref="H12">_xlfn.LET(
    _xlpm.v, TRIM(INDEX(_xlfn.TEXTSPLIT(C12, " "), 5)),
    IF(RIGHT(_xlpm.v,1)=":", LEFT(_xlpm.v, LEN(_xlpm.v)-1), _xlpm.v)
)</f>
        <v>192.168.100.30</v>
      </c>
      <c r="I12" s="39" t="str" cm="1">
        <f t="array" ref="I12">TRIM(INDEX(_xlfn.TEXTSPLIT(C12, " "), 6))</f>
        <v>ICMP</v>
      </c>
      <c r="J12" s="39" t="str">
        <f t="shared" si="2"/>
        <v>echo request</v>
      </c>
      <c r="K12" s="39" t="str">
        <f t="shared" ref="K12:K59" si="5">IFERROR("id " &amp; _xlfn.TEXTBEFORE(_xlfn.TEXTAFTER(C12,"id "),","), "-")</f>
        <v>id 5</v>
      </c>
      <c r="L12" s="39" t="str">
        <f t="shared" si="3"/>
        <v>seq 1</v>
      </c>
      <c r="M12" s="39" t="str">
        <f t="shared" si="4"/>
        <v>length 64</v>
      </c>
    </row>
    <row r="13" spans="1:13" x14ac:dyDescent="0.45">
      <c r="A13" s="39" t="s">
        <v>382</v>
      </c>
      <c r="B13" s="39" t="str">
        <f t="shared" si="1"/>
        <v>返り</v>
      </c>
      <c r="C13" s="74" t="s">
        <v>1092</v>
      </c>
      <c r="D13" s="39" t="str" cm="1">
        <f t="array" ref="D13">TRIM(INDEX(_xlfn.TEXTSPLIT(C13, " "), 1))</f>
        <v>21:01:02.014473</v>
      </c>
      <c r="E13" s="39" t="str" cm="1">
        <f t="array" ref="E13">TRIM(INDEX(_xlfn.TEXTSPLIT(C13, " "), 2))</f>
        <v>IP</v>
      </c>
      <c r="F13" s="39" t="str" cm="1">
        <f t="array" ref="F13">TRIM(INDEX(_xlfn.TEXTSPLIT(C13, " "), 3))</f>
        <v>192.168.100.30</v>
      </c>
      <c r="G13" s="39" t="str" cm="1">
        <f t="array" ref="G13">TRIM(INDEX(_xlfn.TEXTSPLIT(C13, " "), 4))</f>
        <v>&gt;</v>
      </c>
      <c r="H13" s="39" t="str" cm="1">
        <f t="array" ref="H13">_xlfn.LET(
    _xlpm.v, TRIM(INDEX(_xlfn.TEXTSPLIT(C13, " "), 5)),
    IF(RIGHT(_xlpm.v,1)=":", LEFT(_xlpm.v, LEN(_xlpm.v)-1), _xlpm.v)
)</f>
        <v>192.168.100.28</v>
      </c>
      <c r="I13" s="39" t="str" cm="1">
        <f t="array" ref="I13">TRIM(INDEX(_xlfn.TEXTSPLIT(C13, " "), 6))</f>
        <v>ICMP</v>
      </c>
      <c r="J13" s="39" t="str">
        <f t="shared" si="2"/>
        <v>echo reply</v>
      </c>
      <c r="K13" s="39" t="str">
        <f t="shared" si="5"/>
        <v>id 5</v>
      </c>
      <c r="L13" s="39" t="str">
        <f t="shared" si="3"/>
        <v>seq 1</v>
      </c>
      <c r="M13" s="39" t="str">
        <f t="shared" si="4"/>
        <v>length 64</v>
      </c>
    </row>
    <row r="14" spans="1:13" x14ac:dyDescent="0.45">
      <c r="A14" s="39" t="s">
        <v>568</v>
      </c>
      <c r="B14" s="39" t="str">
        <f t="shared" si="1"/>
        <v>行き</v>
      </c>
      <c r="C14" s="75" t="s">
        <v>1110</v>
      </c>
      <c r="D14" s="39" t="str" cm="1">
        <f t="array" ref="D14">TRIM(INDEX(_xlfn.TEXTSPLIT(C14, " "), 1))</f>
        <v>21:02:32.808917</v>
      </c>
      <c r="E14" s="39" t="str" cm="1">
        <f t="array" ref="E14">TRIM(INDEX(_xlfn.TEXTSPLIT(C14, " "), 2))</f>
        <v>IP</v>
      </c>
      <c r="F14" s="39" t="str" cm="1">
        <f t="array" ref="F14">TRIM(INDEX(_xlfn.TEXTSPLIT(C14, " "), 3))</f>
        <v>192.168.100.28</v>
      </c>
      <c r="G14" s="39" t="str" cm="1">
        <f t="array" ref="G14">TRIM(INDEX(_xlfn.TEXTSPLIT(C14, " "), 4))</f>
        <v>&gt;</v>
      </c>
      <c r="H14" s="39" t="str" cm="1">
        <f t="array" ref="H14">_xlfn.LET(
    _xlpm.v, TRIM(INDEX(_xlfn.TEXTSPLIT(C14, " "), 5)),
    IF(RIGHT(_xlpm.v,1)=":", LEFT(_xlpm.v, LEN(_xlpm.v)-1), _xlpm.v)
)</f>
        <v>192.168.100.31</v>
      </c>
      <c r="I14" s="39" t="str" cm="1">
        <f t="array" ref="I14">TRIM(INDEX(_xlfn.TEXTSPLIT(C14, " "), 6))</f>
        <v>ICMP</v>
      </c>
      <c r="J14" s="39" t="str">
        <f t="shared" si="2"/>
        <v>echo request</v>
      </c>
      <c r="K14" s="39" t="str">
        <f t="shared" si="5"/>
        <v>id 6</v>
      </c>
      <c r="L14" s="39" t="str">
        <f t="shared" si="3"/>
        <v>seq 1</v>
      </c>
      <c r="M14" s="39" t="str">
        <f t="shared" si="4"/>
        <v>length 64</v>
      </c>
    </row>
    <row r="15" spans="1:13" x14ac:dyDescent="0.45">
      <c r="A15" s="39" t="s">
        <v>997</v>
      </c>
      <c r="B15" s="39" t="str">
        <f t="shared" si="1"/>
        <v>返り</v>
      </c>
      <c r="C15" s="75" t="s">
        <v>1111</v>
      </c>
      <c r="D15" s="39" t="str" cm="1">
        <f t="array" ref="D15">TRIM(INDEX(_xlfn.TEXTSPLIT(C15, " "), 1))</f>
        <v>21:02:32.808973</v>
      </c>
      <c r="E15" s="39" t="str" cm="1">
        <f t="array" ref="E15">TRIM(INDEX(_xlfn.TEXTSPLIT(C15, " "), 2))</f>
        <v>IP</v>
      </c>
      <c r="F15" s="39" t="str" cm="1">
        <f t="array" ref="F15">TRIM(INDEX(_xlfn.TEXTSPLIT(C15, " "), 3))</f>
        <v>192.168.100.31</v>
      </c>
      <c r="G15" s="39" t="str" cm="1">
        <f t="array" ref="G15">TRIM(INDEX(_xlfn.TEXTSPLIT(C15, " "), 4))</f>
        <v>&gt;</v>
      </c>
      <c r="H15" s="39" t="str" cm="1">
        <f t="array" ref="H15">_xlfn.LET(
    _xlpm.v, TRIM(INDEX(_xlfn.TEXTSPLIT(C15, " "), 5)),
    IF(RIGHT(_xlpm.v,1)=":", LEFT(_xlpm.v, LEN(_xlpm.v)-1), _xlpm.v)
)</f>
        <v>192.168.100.28</v>
      </c>
      <c r="I15" s="39" t="str" cm="1">
        <f t="array" ref="I15">TRIM(INDEX(_xlfn.TEXTSPLIT(C15, " "), 6))</f>
        <v>ICMP</v>
      </c>
      <c r="J15" s="39" t="str">
        <f t="shared" si="2"/>
        <v>echo reply</v>
      </c>
      <c r="K15" s="39" t="str">
        <f t="shared" si="5"/>
        <v>id 6</v>
      </c>
      <c r="L15" s="39" t="str">
        <f t="shared" si="3"/>
        <v>seq 1</v>
      </c>
      <c r="M15" s="39" t="str">
        <f t="shared" si="4"/>
        <v>length 64</v>
      </c>
    </row>
    <row r="16" spans="1:13" x14ac:dyDescent="0.45">
      <c r="A16" s="39" t="s">
        <v>1434</v>
      </c>
      <c r="B16" s="39" t="str">
        <f t="shared" si="1"/>
        <v>行き</v>
      </c>
      <c r="C16" s="74" t="s">
        <v>1126</v>
      </c>
      <c r="D16" s="39" t="str" cm="1">
        <f t="array" ref="D16">TRIM(INDEX(_xlfn.TEXTSPLIT(C16, " "), 1))</f>
        <v>21:04:25.886203</v>
      </c>
      <c r="E16" s="39" t="str" cm="1">
        <f t="array" ref="E16">TRIM(INDEX(_xlfn.TEXTSPLIT(C16, " "), 2))</f>
        <v>IP</v>
      </c>
      <c r="F16" s="39" t="str" cm="1">
        <f t="array" ref="F16">TRIM(INDEX(_xlfn.TEXTSPLIT(C16, " "), 3))</f>
        <v>192.168.100.28</v>
      </c>
      <c r="G16" s="39" t="str" cm="1">
        <f t="array" ref="G16">TRIM(INDEX(_xlfn.TEXTSPLIT(C16, " "), 4))</f>
        <v>&gt;</v>
      </c>
      <c r="H16" s="39" t="str" cm="1">
        <f t="array" ref="H16">_xlfn.LET(
    _xlpm.v, TRIM(INDEX(_xlfn.TEXTSPLIT(C16, " "), 5)),
    IF(RIGHT(_xlpm.v,1)=":", LEFT(_xlpm.v, LEN(_xlpm.v)-1), _xlpm.v)
)</f>
        <v>192.168.110.8</v>
      </c>
      <c r="I16" s="39" t="str" cm="1">
        <f t="array" ref="I16">TRIM(INDEX(_xlfn.TEXTSPLIT(C16, " "), 6))</f>
        <v>ICMP</v>
      </c>
      <c r="J16" s="39" t="str">
        <f t="shared" si="2"/>
        <v>echo request</v>
      </c>
      <c r="K16" s="39" t="str">
        <f t="shared" si="5"/>
        <v>id 7</v>
      </c>
      <c r="L16" s="39" t="str">
        <f t="shared" si="3"/>
        <v>seq 1</v>
      </c>
      <c r="M16" s="39" t="str">
        <f t="shared" si="4"/>
        <v>length 64</v>
      </c>
    </row>
    <row r="17" spans="1:13" x14ac:dyDescent="0.45">
      <c r="A17" s="39" t="s">
        <v>998</v>
      </c>
      <c r="B17" s="39" t="str">
        <f t="shared" si="1"/>
        <v>返り</v>
      </c>
      <c r="C17" s="74" t="s">
        <v>1127</v>
      </c>
      <c r="D17" s="39" t="str" cm="1">
        <f t="array" ref="D17">TRIM(INDEX(_xlfn.TEXTSPLIT(C17, " "), 1))</f>
        <v>21:04:25.886288</v>
      </c>
      <c r="E17" s="39" t="str" cm="1">
        <f t="array" ref="E17">TRIM(INDEX(_xlfn.TEXTSPLIT(C17, " "), 2))</f>
        <v>IP</v>
      </c>
      <c r="F17" s="39" t="str" cm="1">
        <f t="array" ref="F17">TRIM(INDEX(_xlfn.TEXTSPLIT(C17, " "), 3))</f>
        <v>192.168.110.8</v>
      </c>
      <c r="G17" s="39" t="str" cm="1">
        <f t="array" ref="G17">TRIM(INDEX(_xlfn.TEXTSPLIT(C17, " "), 4))</f>
        <v>&gt;</v>
      </c>
      <c r="H17" s="39" t="str" cm="1">
        <f t="array" ref="H17">_xlfn.LET(
    _xlpm.v, TRIM(INDEX(_xlfn.TEXTSPLIT(C17, " "), 5)),
    IF(RIGHT(_xlpm.v,1)=":", LEFT(_xlpm.v, LEN(_xlpm.v)-1), _xlpm.v)
)</f>
        <v>192.168.100.28</v>
      </c>
      <c r="I17" s="39" t="str" cm="1">
        <f t="array" ref="I17">TRIM(INDEX(_xlfn.TEXTSPLIT(C17, " "), 6))</f>
        <v>ICMP</v>
      </c>
      <c r="J17" s="39" t="str">
        <f t="shared" si="2"/>
        <v>echo reply</v>
      </c>
      <c r="K17" s="39" t="str">
        <f t="shared" si="5"/>
        <v>id 7</v>
      </c>
      <c r="L17" s="39" t="str">
        <f t="shared" si="3"/>
        <v>seq 1</v>
      </c>
      <c r="M17" s="39" t="str">
        <f t="shared" si="4"/>
        <v>length 64</v>
      </c>
    </row>
    <row r="18" spans="1:13" x14ac:dyDescent="0.45">
      <c r="A18" s="39" t="s">
        <v>1435</v>
      </c>
      <c r="B18" s="39" t="str">
        <f t="shared" ref="B18:B23" si="6">IF(J18="echo request","行き",IF(J18="echo reply","返り",""))</f>
        <v>行き</v>
      </c>
      <c r="C18" s="74" t="s">
        <v>1144</v>
      </c>
      <c r="D18" s="39" t="str" cm="1">
        <f t="array" ref="D18">TRIM(INDEX(_xlfn.TEXTSPLIT(C18, " "), 1))</f>
        <v>21:06:39.389036</v>
      </c>
      <c r="E18" s="39" t="str" cm="1">
        <f t="array" ref="E18">TRIM(INDEX(_xlfn.TEXTSPLIT(C18, " "), 2))</f>
        <v>IP</v>
      </c>
      <c r="F18" s="39" t="str" cm="1">
        <f t="array" ref="F18">TRIM(INDEX(_xlfn.TEXTSPLIT(C18, " "), 3))</f>
        <v>192.168.100.28</v>
      </c>
      <c r="G18" s="39" t="str" cm="1">
        <f t="array" ref="G18">TRIM(INDEX(_xlfn.TEXTSPLIT(C18, " "), 4))</f>
        <v>&gt;</v>
      </c>
      <c r="H18" s="39" t="str" cm="1">
        <f t="array" ref="H18">_xlfn.LET(
    _xlpm.v, TRIM(INDEX(_xlfn.TEXTSPLIT(C18, " "), 5)),
    IF(RIGHT(_xlpm.v,1)=":", LEFT(_xlpm.v, LEN(_xlpm.v)-1), _xlpm.v)
)</f>
        <v>192.168.110.9</v>
      </c>
      <c r="I18" s="39" t="str" cm="1">
        <f t="array" ref="I18">TRIM(INDEX(_xlfn.TEXTSPLIT(C18, " "), 6))</f>
        <v>ICMP</v>
      </c>
      <c r="J18" s="39" t="str">
        <f t="shared" si="2"/>
        <v>echo request</v>
      </c>
      <c r="K18" s="39" t="str">
        <f t="shared" si="5"/>
        <v>id 8</v>
      </c>
      <c r="L18" s="39" t="str">
        <f t="shared" si="3"/>
        <v>seq 1</v>
      </c>
      <c r="M18" s="39" t="str">
        <f t="shared" si="4"/>
        <v>length 64</v>
      </c>
    </row>
    <row r="19" spans="1:13" x14ac:dyDescent="0.45">
      <c r="A19" s="39" t="s">
        <v>999</v>
      </c>
      <c r="B19" s="39" t="str">
        <f t="shared" si="6"/>
        <v>返り</v>
      </c>
      <c r="C19" s="74" t="s">
        <v>1145</v>
      </c>
      <c r="D19" s="39" t="str" cm="1">
        <f t="array" ref="D19">TRIM(INDEX(_xlfn.TEXTSPLIT(C19, " "), 1))</f>
        <v>21:06:39.389073</v>
      </c>
      <c r="E19" s="39" t="str" cm="1">
        <f t="array" ref="E19">TRIM(INDEX(_xlfn.TEXTSPLIT(C19, " "), 2))</f>
        <v>IP</v>
      </c>
      <c r="F19" s="39" t="str" cm="1">
        <f t="array" ref="F19">TRIM(INDEX(_xlfn.TEXTSPLIT(C19, " "), 3))</f>
        <v>192.168.110.9</v>
      </c>
      <c r="G19" s="39" t="str" cm="1">
        <f t="array" ref="G19">TRIM(INDEX(_xlfn.TEXTSPLIT(C19, " "), 4))</f>
        <v>&gt;</v>
      </c>
      <c r="H19" s="39" t="str" cm="1">
        <f t="array" ref="H19">_xlfn.LET(
    _xlpm.v, TRIM(INDEX(_xlfn.TEXTSPLIT(C19, " "), 5)),
    IF(RIGHT(_xlpm.v,1)=":", LEFT(_xlpm.v, LEN(_xlpm.v)-1), _xlpm.v)
)</f>
        <v>192.168.100.28</v>
      </c>
      <c r="I19" s="39" t="str" cm="1">
        <f t="array" ref="I19">TRIM(INDEX(_xlfn.TEXTSPLIT(C19, " "), 6))</f>
        <v>ICMP</v>
      </c>
      <c r="J19" s="39" t="str">
        <f t="shared" si="2"/>
        <v>echo reply</v>
      </c>
      <c r="K19" s="39" t="str">
        <f t="shared" si="5"/>
        <v>id 8</v>
      </c>
      <c r="L19" s="39" t="str">
        <f t="shared" si="3"/>
        <v>seq 1</v>
      </c>
      <c r="M19" s="39" t="str">
        <f t="shared" si="4"/>
        <v>length 64</v>
      </c>
    </row>
    <row r="20" spans="1:13" x14ac:dyDescent="0.45">
      <c r="A20" s="39" t="s">
        <v>987</v>
      </c>
      <c r="B20" s="39" t="str">
        <f t="shared" si="6"/>
        <v>行き</v>
      </c>
      <c r="C20" s="74" t="s">
        <v>1162</v>
      </c>
      <c r="D20" s="39" t="str" cm="1">
        <f t="array" ref="D20">TRIM(INDEX(_xlfn.TEXTSPLIT(C20, " "), 1))</f>
        <v>21:07:47.887915</v>
      </c>
      <c r="E20" s="39" t="str" cm="1">
        <f t="array" ref="E20">TRIM(INDEX(_xlfn.TEXTSPLIT(C20, " "), 2))</f>
        <v>IP</v>
      </c>
      <c r="F20" s="39" t="str" cm="1">
        <f t="array" ref="F20">TRIM(INDEX(_xlfn.TEXTSPLIT(C20, " "), 3))</f>
        <v>192.168.100.28</v>
      </c>
      <c r="G20" s="39" t="str" cm="1">
        <f t="array" ref="G20">TRIM(INDEX(_xlfn.TEXTSPLIT(C20, " "), 4))</f>
        <v>&gt;</v>
      </c>
      <c r="H20" s="39" t="str" cm="1">
        <f t="array" ref="H20">_xlfn.LET(
    _xlpm.v, TRIM(INDEX(_xlfn.TEXTSPLIT(C20, " "), 5)),
    IF(RIGHT(_xlpm.v,1)=":", LEFT(_xlpm.v, LEN(_xlpm.v)-1), _xlpm.v)
)</f>
        <v>192.168.110.10</v>
      </c>
      <c r="I20" s="39" t="str" cm="1">
        <f t="array" ref="I20">TRIM(INDEX(_xlfn.TEXTSPLIT(C20, " "), 6))</f>
        <v>ICMP</v>
      </c>
      <c r="J20" s="39" t="str">
        <f>TRIM(MID(
    C20,
    FIND("ICMP", C20) + 5,
    FIND(",", C20, FIND("ICMP", C20)) - (FIND("ICMP", C20) + 5)
))</f>
        <v>echo request</v>
      </c>
      <c r="K20" s="39" t="str">
        <f>IFERROR("id " &amp; _xlfn.TEXTBEFORE(_xlfn.TEXTAFTER(C20,"id "),","), "-")</f>
        <v>id 9</v>
      </c>
      <c r="L20" s="39" t="str">
        <f>IFERROR("seq " &amp; _xlfn.TEXTBEFORE(_xlfn.TEXTAFTER(C20,"seq "),","), "-")</f>
        <v>seq 1</v>
      </c>
      <c r="M20" s="39" t="str">
        <f>TRIM(MID(C20, FIND("length ", C20), LEN(C20) - FIND("length ", C20) + 1))</f>
        <v>length 64</v>
      </c>
    </row>
    <row r="21" spans="1:13" x14ac:dyDescent="0.45">
      <c r="A21" s="39" t="s">
        <v>1000</v>
      </c>
      <c r="B21" s="39" t="str">
        <f t="shared" si="6"/>
        <v>返り</v>
      </c>
      <c r="C21" s="74" t="s">
        <v>1163</v>
      </c>
      <c r="D21" s="39" t="str" cm="1">
        <f t="array" ref="D21">TRIM(INDEX(_xlfn.TEXTSPLIT(C21, " "), 1))</f>
        <v>21:07:47.887954</v>
      </c>
      <c r="E21" s="39" t="str" cm="1">
        <f t="array" ref="E21">TRIM(INDEX(_xlfn.TEXTSPLIT(C21, " "), 2))</f>
        <v>IP</v>
      </c>
      <c r="F21" s="39" t="str" cm="1">
        <f t="array" ref="F21">TRIM(INDEX(_xlfn.TEXTSPLIT(C21, " "), 3))</f>
        <v>192.168.110.10</v>
      </c>
      <c r="G21" s="39" t="str" cm="1">
        <f t="array" ref="G21">TRIM(INDEX(_xlfn.TEXTSPLIT(C21, " "), 4))</f>
        <v>&gt;</v>
      </c>
      <c r="H21" s="39" t="str" cm="1">
        <f t="array" ref="H21">_xlfn.LET(
    _xlpm.v, TRIM(INDEX(_xlfn.TEXTSPLIT(C21, " "), 5)),
    IF(RIGHT(_xlpm.v,1)=":", LEFT(_xlpm.v, LEN(_xlpm.v)-1), _xlpm.v)
)</f>
        <v>192.168.100.28</v>
      </c>
      <c r="I21" s="39" t="str" cm="1">
        <f t="array" ref="I21">TRIM(INDEX(_xlfn.TEXTSPLIT(C21, " "), 6))</f>
        <v>ICMP</v>
      </c>
      <c r="J21" s="39" t="str">
        <f t="shared" si="2"/>
        <v>echo reply</v>
      </c>
      <c r="K21" s="39" t="str">
        <f t="shared" si="5"/>
        <v>id 9</v>
      </c>
      <c r="L21" s="39" t="str">
        <f t="shared" si="3"/>
        <v>seq 1</v>
      </c>
      <c r="M21" s="39" t="str">
        <f t="shared" si="4"/>
        <v>length 64</v>
      </c>
    </row>
    <row r="22" spans="1:13" x14ac:dyDescent="0.45">
      <c r="A22" s="39" t="s">
        <v>988</v>
      </c>
      <c r="B22" s="39" t="str">
        <f t="shared" si="6"/>
        <v>行き</v>
      </c>
      <c r="C22" s="74" t="s">
        <v>1180</v>
      </c>
      <c r="D22" s="39" t="str" cm="1">
        <f t="array" ref="D22">TRIM(INDEX(_xlfn.TEXTSPLIT(C22, " "), 1))</f>
        <v>21:09:04.055766</v>
      </c>
      <c r="E22" s="39" t="str" cm="1">
        <f t="array" ref="E22">TRIM(INDEX(_xlfn.TEXTSPLIT(C22, " "), 2))</f>
        <v>IP</v>
      </c>
      <c r="F22" s="39" t="str" cm="1">
        <f t="array" ref="F22">TRIM(INDEX(_xlfn.TEXTSPLIT(C22, " "), 3))</f>
        <v>192.168.100.28</v>
      </c>
      <c r="G22" s="39" t="str" cm="1">
        <f t="array" ref="G22">TRIM(INDEX(_xlfn.TEXTSPLIT(C22, " "), 4))</f>
        <v>&gt;</v>
      </c>
      <c r="H22" s="39" t="str" cm="1">
        <f t="array" ref="H22">_xlfn.LET(
    _xlpm.v, TRIM(INDEX(_xlfn.TEXTSPLIT(C22, " "), 5)),
    IF(RIGHT(_xlpm.v,1)=":", LEFT(_xlpm.v, LEN(_xlpm.v)-1), _xlpm.v)
)</f>
        <v>192.168.120.7</v>
      </c>
      <c r="I22" s="39" t="str" cm="1">
        <f t="array" ref="I22">TRIM(INDEX(_xlfn.TEXTSPLIT(C22, " "), 6))</f>
        <v>ICMP</v>
      </c>
      <c r="J22" s="39" t="str">
        <f>TRIM(MID(
    C22,
    FIND("ICMP", C22) + 5,
    FIND(",", C22, FIND("ICMP", C22)) - (FIND("ICMP", C22) + 5)
))</f>
        <v>echo request</v>
      </c>
      <c r="K22" s="39" t="str">
        <f>IFERROR("id " &amp; _xlfn.TEXTBEFORE(_xlfn.TEXTAFTER(C22,"id "),","), "-")</f>
        <v>id 10</v>
      </c>
      <c r="L22" s="39" t="str">
        <f>IFERROR("seq " &amp; _xlfn.TEXTBEFORE(_xlfn.TEXTAFTER(C22,"seq "),","), "-")</f>
        <v>seq 1</v>
      </c>
      <c r="M22" s="39" t="str">
        <f>TRIM(MID(C22, FIND("length ", C22), LEN(C22) - FIND("length ", C22) + 1))</f>
        <v>length 64</v>
      </c>
    </row>
    <row r="23" spans="1:13" x14ac:dyDescent="0.45">
      <c r="A23" s="39" t="s">
        <v>1001</v>
      </c>
      <c r="B23" s="39" t="str">
        <f t="shared" si="6"/>
        <v>返り</v>
      </c>
      <c r="C23" s="74" t="s">
        <v>1181</v>
      </c>
      <c r="D23" s="39" t="str" cm="1">
        <f t="array" ref="D23">TRIM(INDEX(_xlfn.TEXTSPLIT(C23, " "), 1))</f>
        <v>21:09:04.055837</v>
      </c>
      <c r="E23" s="39" t="str" cm="1">
        <f t="array" ref="E23">TRIM(INDEX(_xlfn.TEXTSPLIT(C23, " "), 2))</f>
        <v>IP</v>
      </c>
      <c r="F23" s="39" t="str" cm="1">
        <f t="array" ref="F23">TRIM(INDEX(_xlfn.TEXTSPLIT(C23, " "), 3))</f>
        <v>192.168.120.7</v>
      </c>
      <c r="G23" s="39" t="str" cm="1">
        <f t="array" ref="G23">TRIM(INDEX(_xlfn.TEXTSPLIT(C23, " "), 4))</f>
        <v>&gt;</v>
      </c>
      <c r="H23" s="39" t="str" cm="1">
        <f t="array" ref="H23">_xlfn.LET(
    _xlpm.v, TRIM(INDEX(_xlfn.TEXTSPLIT(C23, " "), 5)),
    IF(RIGHT(_xlpm.v,1)=":", LEFT(_xlpm.v, LEN(_xlpm.v)-1), _xlpm.v)
)</f>
        <v>192.168.100.28</v>
      </c>
      <c r="I23" s="39" t="str" cm="1">
        <f t="array" ref="I23">TRIM(INDEX(_xlfn.TEXTSPLIT(C23, " "), 6))</f>
        <v>ICMP</v>
      </c>
      <c r="J23" s="39" t="str">
        <f t="shared" si="2"/>
        <v>echo reply</v>
      </c>
      <c r="K23" s="39" t="str">
        <f t="shared" si="5"/>
        <v>id 10</v>
      </c>
      <c r="L23" s="39" t="str">
        <f t="shared" si="3"/>
        <v>seq 1</v>
      </c>
      <c r="M23" s="39" t="str">
        <f t="shared" si="4"/>
        <v>length 64</v>
      </c>
    </row>
    <row r="24" spans="1:13" x14ac:dyDescent="0.45">
      <c r="A24" s="39" t="s">
        <v>1002</v>
      </c>
      <c r="B24" s="39" t="str">
        <f t="shared" si="1"/>
        <v>行き</v>
      </c>
      <c r="C24" s="74" t="s">
        <v>1197</v>
      </c>
      <c r="D24" s="39" t="str" cm="1">
        <f t="array" ref="D24">TRIM(INDEX(_xlfn.TEXTSPLIT(C24, " "), 1))</f>
        <v>21:11:59.129124</v>
      </c>
      <c r="E24" s="39" t="str" cm="1">
        <f t="array" ref="E24">TRIM(INDEX(_xlfn.TEXTSPLIT(C24, " "), 2))</f>
        <v>IP</v>
      </c>
      <c r="F24" s="39" t="str" cm="1">
        <f t="array" ref="F24">TRIM(INDEX(_xlfn.TEXTSPLIT(C24, " "), 3))</f>
        <v>192.168.100.27</v>
      </c>
      <c r="G24" s="39" t="str" cm="1">
        <f t="array" ref="G24">TRIM(INDEX(_xlfn.TEXTSPLIT(C24, " "), 4))</f>
        <v>&gt;</v>
      </c>
      <c r="H24" s="39" t="str" cm="1">
        <f t="array" ref="H24">_xlfn.LET(
    _xlpm.v, TRIM(INDEX(_xlfn.TEXTSPLIT(C24, " "), 5)),
    IF(RIGHT(_xlpm.v,1)=":", LEFT(_xlpm.v, LEN(_xlpm.v)-1), _xlpm.v)
)</f>
        <v>8.8.8.8</v>
      </c>
      <c r="I24" s="39" t="str" cm="1">
        <f t="array" ref="I24">TRIM(INDEX(_xlfn.TEXTSPLIT(C24, " "), 6))</f>
        <v>ICMP</v>
      </c>
      <c r="J24" s="39" t="str">
        <f t="shared" si="2"/>
        <v>echo request</v>
      </c>
      <c r="K24" s="39" t="str">
        <f t="shared" si="5"/>
        <v>id 1</v>
      </c>
      <c r="L24" s="39" t="str">
        <f t="shared" si="3"/>
        <v>seq 1</v>
      </c>
      <c r="M24" s="39" t="str">
        <f t="shared" si="4"/>
        <v>length 64</v>
      </c>
    </row>
    <row r="25" spans="1:13" x14ac:dyDescent="0.45">
      <c r="A25" s="39" t="s">
        <v>1003</v>
      </c>
      <c r="B25" s="39" t="str">
        <f t="shared" si="1"/>
        <v>返り</v>
      </c>
      <c r="C25" s="74" t="s">
        <v>1198</v>
      </c>
      <c r="D25" s="39" t="str" cm="1">
        <f t="array" ref="D25">TRIM(INDEX(_xlfn.TEXTSPLIT(C25, " "), 1))</f>
        <v>21:11:59.153764</v>
      </c>
      <c r="E25" s="39" t="str" cm="1">
        <f t="array" ref="E25">TRIM(INDEX(_xlfn.TEXTSPLIT(C25, " "), 2))</f>
        <v>IP</v>
      </c>
      <c r="F25" s="39" t="str" cm="1">
        <f t="array" ref="F25">TRIM(INDEX(_xlfn.TEXTSPLIT(C25, " "), 3))</f>
        <v>8.8.8.8</v>
      </c>
      <c r="G25" s="39" t="str" cm="1">
        <f t="array" ref="G25">TRIM(INDEX(_xlfn.TEXTSPLIT(C25, " "), 4))</f>
        <v>&gt;</v>
      </c>
      <c r="H25" s="39" t="str" cm="1">
        <f t="array" ref="H25">_xlfn.LET(
    _xlpm.v, TRIM(INDEX(_xlfn.TEXTSPLIT(C25, " "), 5)),
    IF(RIGHT(_xlpm.v,1)=":", LEFT(_xlpm.v, LEN(_xlpm.v)-1), _xlpm.v)
)</f>
        <v>192.168.100.27</v>
      </c>
      <c r="I25" s="39" t="str" cm="1">
        <f t="array" ref="I25">TRIM(INDEX(_xlfn.TEXTSPLIT(C25, " "), 6))</f>
        <v>ICMP</v>
      </c>
      <c r="J25" s="39" t="str">
        <f t="shared" si="2"/>
        <v>echo reply</v>
      </c>
      <c r="K25" s="39" t="str">
        <f t="shared" si="5"/>
        <v>id 1</v>
      </c>
      <c r="L25" s="39" t="str">
        <f t="shared" si="3"/>
        <v>seq 1</v>
      </c>
      <c r="M25" s="39" t="str">
        <f t="shared" si="4"/>
        <v>length 64</v>
      </c>
    </row>
    <row r="26" spans="1:13" x14ac:dyDescent="0.45">
      <c r="A26" s="39" t="s">
        <v>1004</v>
      </c>
      <c r="B26" s="39" t="str">
        <f t="shared" si="1"/>
        <v>行き</v>
      </c>
      <c r="C26" s="74" t="s">
        <v>1212</v>
      </c>
      <c r="D26" s="39" t="str" cm="1">
        <f t="array" ref="D26">TRIM(INDEX(_xlfn.TEXTSPLIT(C26, " "), 1))</f>
        <v>21:13:31.713640</v>
      </c>
      <c r="E26" s="39" t="str" cm="1">
        <f t="array" ref="E26">TRIM(INDEX(_xlfn.TEXTSPLIT(C26, " "), 2))</f>
        <v>IP</v>
      </c>
      <c r="F26" s="39" t="str" cm="1">
        <f t="array" ref="F26">TRIM(INDEX(_xlfn.TEXTSPLIT(C26, " "), 3))</f>
        <v>10.0.2.15</v>
      </c>
      <c r="G26" s="39" t="str" cm="1">
        <f t="array" ref="G26">TRIM(INDEX(_xlfn.TEXTSPLIT(C26, " "), 4))</f>
        <v>&gt;</v>
      </c>
      <c r="H26" s="39" t="str" cm="1">
        <f t="array" ref="H26">_xlfn.LET(
    _xlpm.v, TRIM(INDEX(_xlfn.TEXTSPLIT(C26, " "), 5)),
    IF(RIGHT(_xlpm.v,1)=":", LEFT(_xlpm.v, LEN(_xlpm.v)-1), _xlpm.v)
)</f>
        <v>8.8.8.8</v>
      </c>
      <c r="I26" s="39" t="str" cm="1">
        <f t="array" ref="I26">TRIM(INDEX(_xlfn.TEXTSPLIT(C26, " "), 6))</f>
        <v>ICMP</v>
      </c>
      <c r="J26" s="39" t="str">
        <f t="shared" si="2"/>
        <v>echo request</v>
      </c>
      <c r="K26" s="39" t="str">
        <f t="shared" si="5"/>
        <v>id 2</v>
      </c>
      <c r="L26" s="39" t="str">
        <f t="shared" si="3"/>
        <v>seq 1</v>
      </c>
      <c r="M26" s="39" t="str">
        <f t="shared" si="4"/>
        <v>length 64</v>
      </c>
    </row>
    <row r="27" spans="1:13" x14ac:dyDescent="0.45">
      <c r="A27" s="39" t="s">
        <v>1005</v>
      </c>
      <c r="B27" s="39" t="str">
        <f t="shared" si="1"/>
        <v>返り</v>
      </c>
      <c r="C27" s="74" t="s">
        <v>1213</v>
      </c>
      <c r="D27" s="39" t="str" cm="1">
        <f t="array" ref="D27">TRIM(INDEX(_xlfn.TEXTSPLIT(C27, " "), 1))</f>
        <v>21:13:31.738165</v>
      </c>
      <c r="E27" s="39" t="str" cm="1">
        <f t="array" ref="E27">TRIM(INDEX(_xlfn.TEXTSPLIT(C27, " "), 2))</f>
        <v>IP</v>
      </c>
      <c r="F27" s="39" t="str" cm="1">
        <f t="array" ref="F27">TRIM(INDEX(_xlfn.TEXTSPLIT(C27, " "), 3))</f>
        <v>8.8.8.8</v>
      </c>
      <c r="G27" s="39" t="str" cm="1">
        <f t="array" ref="G27">TRIM(INDEX(_xlfn.TEXTSPLIT(C27, " "), 4))</f>
        <v>&gt;</v>
      </c>
      <c r="H27" s="39" t="str" cm="1">
        <f t="array" ref="H27">_xlfn.LET(
    _xlpm.v, TRIM(INDEX(_xlfn.TEXTSPLIT(C27, " "), 5)),
    IF(RIGHT(_xlpm.v,1)=":", LEFT(_xlpm.v, LEN(_xlpm.v)-1), _xlpm.v)
)</f>
        <v>10.0.2.15</v>
      </c>
      <c r="I27" s="39" t="str" cm="1">
        <f t="array" ref="I27">TRIM(INDEX(_xlfn.TEXTSPLIT(C27, " "), 6))</f>
        <v>ICMP</v>
      </c>
      <c r="J27" s="39" t="str">
        <f t="shared" si="2"/>
        <v>echo reply</v>
      </c>
      <c r="K27" s="39" t="str">
        <f t="shared" si="5"/>
        <v>id 2</v>
      </c>
      <c r="L27" s="39" t="str">
        <f t="shared" si="3"/>
        <v>seq 1</v>
      </c>
      <c r="M27" s="39" t="str">
        <f t="shared" si="4"/>
        <v>length 64</v>
      </c>
    </row>
    <row r="28" spans="1:13" x14ac:dyDescent="0.45">
      <c r="A28" s="39" t="s">
        <v>1006</v>
      </c>
      <c r="B28" s="39" t="str">
        <f t="shared" si="1"/>
        <v>行き</v>
      </c>
      <c r="C28" s="74" t="s">
        <v>1225</v>
      </c>
      <c r="D28" s="39" t="str" cm="1">
        <f t="array" ref="D28">TRIM(INDEX(_xlfn.TEXTSPLIT(C28, " "), 1))</f>
        <v>21:15:36.863573</v>
      </c>
      <c r="E28" s="39" t="str" cm="1">
        <f t="array" ref="E28">TRIM(INDEX(_xlfn.TEXTSPLIT(C28, " "), 2))</f>
        <v>IP</v>
      </c>
      <c r="F28" s="39" t="str" cm="1">
        <f t="array" ref="F28">TRIM(INDEX(_xlfn.TEXTSPLIT(C28, " "), 3))</f>
        <v>192.168.100.28</v>
      </c>
      <c r="G28" s="39" t="str" cm="1">
        <f t="array" ref="G28">TRIM(INDEX(_xlfn.TEXTSPLIT(C28, " "), 4))</f>
        <v>&gt;</v>
      </c>
      <c r="H28" s="39" t="str" cm="1">
        <f t="array" ref="H28">_xlfn.LET(
    _xlpm.v, TRIM(INDEX(_xlfn.TEXTSPLIT(C28, " "), 5)),
    IF(RIGHT(_xlpm.v,1)=":", LEFT(_xlpm.v, LEN(_xlpm.v)-1), _xlpm.v)
)</f>
        <v>8.8.8.8</v>
      </c>
      <c r="I28" s="39" t="str" cm="1">
        <f t="array" ref="I28">TRIM(INDEX(_xlfn.TEXTSPLIT(C28, " "), 6))</f>
        <v>ICMP</v>
      </c>
      <c r="J28" s="39" t="str">
        <f t="shared" si="2"/>
        <v>echo request</v>
      </c>
      <c r="K28" s="39" t="str">
        <f t="shared" si="5"/>
        <v>id 11</v>
      </c>
      <c r="L28" s="39" t="str">
        <f t="shared" si="3"/>
        <v>seq 1</v>
      </c>
      <c r="M28" s="39" t="str">
        <f t="shared" si="4"/>
        <v>length 64</v>
      </c>
    </row>
    <row r="29" spans="1:13" x14ac:dyDescent="0.45">
      <c r="A29" s="39" t="s">
        <v>1007</v>
      </c>
      <c r="B29" s="39" t="str">
        <f t="shared" si="1"/>
        <v>返り</v>
      </c>
      <c r="C29" s="74" t="s">
        <v>1226</v>
      </c>
      <c r="D29" s="39" t="str" cm="1">
        <f t="array" ref="D29">TRIM(INDEX(_xlfn.TEXTSPLIT(C29, " "), 1))</f>
        <v>21:15:36.893327</v>
      </c>
      <c r="E29" s="39" t="str" cm="1">
        <f t="array" ref="E29">TRIM(INDEX(_xlfn.TEXTSPLIT(C29, " "), 2))</f>
        <v>IP</v>
      </c>
      <c r="F29" s="39" t="str" cm="1">
        <f t="array" ref="F29">TRIM(INDEX(_xlfn.TEXTSPLIT(C29, " "), 3))</f>
        <v>8.8.8.8</v>
      </c>
      <c r="G29" s="39" t="str" cm="1">
        <f t="array" ref="G29">TRIM(INDEX(_xlfn.TEXTSPLIT(C29, " "), 4))</f>
        <v>&gt;</v>
      </c>
      <c r="H29" s="39" t="str" cm="1">
        <f t="array" ref="H29">_xlfn.LET(
    _xlpm.v, TRIM(INDEX(_xlfn.TEXTSPLIT(C29, " "), 5)),
    IF(RIGHT(_xlpm.v,1)=":", LEFT(_xlpm.v, LEN(_xlpm.v)-1), _xlpm.v)
)</f>
        <v>192.168.100.28</v>
      </c>
      <c r="I29" s="39" t="str" cm="1">
        <f t="array" ref="I29">TRIM(INDEX(_xlfn.TEXTSPLIT(C29, " "), 6))</f>
        <v>ICMP</v>
      </c>
      <c r="J29" s="39" t="str">
        <f t="shared" si="2"/>
        <v>echo reply</v>
      </c>
      <c r="K29" s="39" t="str">
        <f t="shared" si="5"/>
        <v>id 11</v>
      </c>
      <c r="L29" s="39" t="str">
        <f t="shared" si="3"/>
        <v>seq 1</v>
      </c>
      <c r="M29" s="39" t="str">
        <f t="shared" si="4"/>
        <v>length 64</v>
      </c>
    </row>
    <row r="30" spans="1:13" x14ac:dyDescent="0.45">
      <c r="A30" s="39" t="s">
        <v>1008</v>
      </c>
      <c r="B30" s="39" t="str">
        <f t="shared" si="1"/>
        <v>行き</v>
      </c>
      <c r="C30" s="74" t="s">
        <v>1238</v>
      </c>
      <c r="D30" s="39" t="str" cm="1">
        <f t="array" ref="D30">TRIM(INDEX(_xlfn.TEXTSPLIT(C30, " "), 1))</f>
        <v>21:16:25.226683</v>
      </c>
      <c r="E30" s="39" t="str" cm="1">
        <f t="array" ref="E30">TRIM(INDEX(_xlfn.TEXTSPLIT(C30, " "), 2))</f>
        <v>IP</v>
      </c>
      <c r="F30" s="39" t="str" cm="1">
        <f t="array" ref="F30">TRIM(INDEX(_xlfn.TEXTSPLIT(C30, " "), 3))</f>
        <v>10.0.2.15</v>
      </c>
      <c r="G30" s="39" t="str" cm="1">
        <f t="array" ref="G30">TRIM(INDEX(_xlfn.TEXTSPLIT(C30, " "), 4))</f>
        <v>&gt;</v>
      </c>
      <c r="H30" s="39" t="str" cm="1">
        <f t="array" ref="H30">_xlfn.LET(
    _xlpm.v, TRIM(INDEX(_xlfn.TEXTSPLIT(C30, " "), 5)),
    IF(RIGHT(_xlpm.v,1)=":", LEFT(_xlpm.v, LEN(_xlpm.v)-1), _xlpm.v)
)</f>
        <v>8.8.8.8</v>
      </c>
      <c r="I30" s="39" t="str" cm="1">
        <f t="array" ref="I30">TRIM(INDEX(_xlfn.TEXTSPLIT(C30, " "), 6))</f>
        <v>ICMP</v>
      </c>
      <c r="J30" s="39" t="str">
        <f t="shared" si="2"/>
        <v>echo request</v>
      </c>
      <c r="K30" s="39" t="str">
        <f t="shared" si="5"/>
        <v>id 12</v>
      </c>
      <c r="L30" s="39" t="str">
        <f t="shared" si="3"/>
        <v>seq 1</v>
      </c>
      <c r="M30" s="39" t="str">
        <f t="shared" si="4"/>
        <v>length 64</v>
      </c>
    </row>
    <row r="31" spans="1:13" x14ac:dyDescent="0.45">
      <c r="A31" s="39" t="s">
        <v>1009</v>
      </c>
      <c r="B31" s="39" t="str">
        <f t="shared" si="1"/>
        <v>返り</v>
      </c>
      <c r="C31" s="74" t="s">
        <v>1239</v>
      </c>
      <c r="D31" s="39" t="str" cm="1">
        <f t="array" ref="D31">TRIM(INDEX(_xlfn.TEXTSPLIT(C31, " "), 1))</f>
        <v>21:16:25.253914</v>
      </c>
      <c r="E31" s="39" t="str" cm="1">
        <f t="array" ref="E31">TRIM(INDEX(_xlfn.TEXTSPLIT(C31, " "), 2))</f>
        <v>IP</v>
      </c>
      <c r="F31" s="39" t="str" cm="1">
        <f t="array" ref="F31">TRIM(INDEX(_xlfn.TEXTSPLIT(C31, " "), 3))</f>
        <v>8.8.8.8</v>
      </c>
      <c r="G31" s="39" t="str" cm="1">
        <f t="array" ref="G31">TRIM(INDEX(_xlfn.TEXTSPLIT(C31, " "), 4))</f>
        <v>&gt;</v>
      </c>
      <c r="H31" s="39" t="str" cm="1">
        <f t="array" ref="H31">_xlfn.LET(
    _xlpm.v, TRIM(INDEX(_xlfn.TEXTSPLIT(C31, " "), 5)),
    IF(RIGHT(_xlpm.v,1)=":", LEFT(_xlpm.v, LEN(_xlpm.v)-1), _xlpm.v)
)</f>
        <v>10.0.2.15</v>
      </c>
      <c r="I31" s="39" t="str" cm="1">
        <f t="array" ref="I31">TRIM(INDEX(_xlfn.TEXTSPLIT(C31, " "), 6))</f>
        <v>ICMP</v>
      </c>
      <c r="J31" s="39" t="str">
        <f t="shared" si="2"/>
        <v>echo reply</v>
      </c>
      <c r="K31" s="39" t="str">
        <f t="shared" si="5"/>
        <v>id 12</v>
      </c>
      <c r="L31" s="39" t="str">
        <f t="shared" si="3"/>
        <v>seq 1</v>
      </c>
      <c r="M31" s="39" t="str">
        <f t="shared" si="4"/>
        <v>length 64</v>
      </c>
    </row>
    <row r="32" spans="1:13" x14ac:dyDescent="0.45">
      <c r="A32" s="39" t="s">
        <v>989</v>
      </c>
      <c r="B32" s="39" t="str">
        <f t="shared" si="1"/>
        <v>行き</v>
      </c>
      <c r="C32" s="74" t="s">
        <v>1250</v>
      </c>
      <c r="D32" s="39" t="str" cm="1">
        <f t="array" ref="D32">TRIM(INDEX(_xlfn.TEXTSPLIT(C32, " "), 1))</f>
        <v>21:19:18.537522</v>
      </c>
      <c r="E32" s="39" t="str" cm="1">
        <f t="array" ref="E32">TRIM(INDEX(_xlfn.TEXTSPLIT(C32, " "), 2))</f>
        <v>IP</v>
      </c>
      <c r="F32" s="39" t="str" cm="1">
        <f t="array" ref="F32">TRIM(INDEX(_xlfn.TEXTSPLIT(C32, " "), 3))</f>
        <v>192.168.100.29</v>
      </c>
      <c r="G32" s="39" t="str" cm="1">
        <f t="array" ref="G32">TRIM(INDEX(_xlfn.TEXTSPLIT(C32, " "), 4))</f>
        <v>&gt;</v>
      </c>
      <c r="H32" s="39" t="str" cm="1">
        <f t="array" ref="H32">_xlfn.LET(
    _xlpm.v, TRIM(INDEX(_xlfn.TEXTSPLIT(C32, " "), 5)),
    IF(RIGHT(_xlpm.v,1)=":", LEFT(_xlpm.v, LEN(_xlpm.v)-1), _xlpm.v)
)</f>
        <v>8.8.8.8</v>
      </c>
      <c r="I32" s="39" t="str" cm="1">
        <f t="array" ref="I32">TRIM(INDEX(_xlfn.TEXTSPLIT(C32, " "), 6))</f>
        <v>ICMP</v>
      </c>
      <c r="J32" s="39" t="str">
        <f t="shared" si="2"/>
        <v>echo request</v>
      </c>
      <c r="K32" s="39" t="str">
        <f t="shared" si="5"/>
        <v>id 1</v>
      </c>
      <c r="L32" s="39" t="str">
        <f t="shared" si="3"/>
        <v>seq 1</v>
      </c>
      <c r="M32" s="39" t="str">
        <f t="shared" si="4"/>
        <v>length 64</v>
      </c>
    </row>
    <row r="33" spans="1:13" x14ac:dyDescent="0.45">
      <c r="A33" s="39" t="s">
        <v>1010</v>
      </c>
      <c r="B33" s="39" t="str">
        <f t="shared" si="1"/>
        <v>返り</v>
      </c>
      <c r="C33" s="74" t="s">
        <v>1251</v>
      </c>
      <c r="D33" s="39" t="str" cm="1">
        <f t="array" ref="D33">TRIM(INDEX(_xlfn.TEXTSPLIT(C33, " "), 1))</f>
        <v>21:19:18.574321</v>
      </c>
      <c r="E33" s="39" t="str" cm="1">
        <f t="array" ref="E33">TRIM(INDEX(_xlfn.TEXTSPLIT(C33, " "), 2))</f>
        <v>IP</v>
      </c>
      <c r="F33" s="39" t="str" cm="1">
        <f t="array" ref="F33">TRIM(INDEX(_xlfn.TEXTSPLIT(C33, " "), 3))</f>
        <v>8.8.8.8</v>
      </c>
      <c r="G33" s="39" t="str" cm="1">
        <f t="array" ref="G33">TRIM(INDEX(_xlfn.TEXTSPLIT(C33, " "), 4))</f>
        <v>&gt;</v>
      </c>
      <c r="H33" s="39" t="str" cm="1">
        <f t="array" ref="H33">_xlfn.LET(
    _xlpm.v, TRIM(INDEX(_xlfn.TEXTSPLIT(C33, " "), 5)),
    IF(RIGHT(_xlpm.v,1)=":", LEFT(_xlpm.v, LEN(_xlpm.v)-1), _xlpm.v)
)</f>
        <v>192.168.100.29</v>
      </c>
      <c r="I33" s="39" t="str" cm="1">
        <f t="array" ref="I33">TRIM(INDEX(_xlfn.TEXTSPLIT(C33, " "), 6))</f>
        <v>ICMP</v>
      </c>
      <c r="J33" s="39" t="str">
        <f t="shared" si="2"/>
        <v>echo reply</v>
      </c>
      <c r="K33" s="39" t="str">
        <f t="shared" si="5"/>
        <v>id 1</v>
      </c>
      <c r="L33" s="39" t="str">
        <f t="shared" si="3"/>
        <v>seq 1</v>
      </c>
      <c r="M33" s="39" t="str">
        <f t="shared" si="4"/>
        <v>length 64</v>
      </c>
    </row>
    <row r="34" spans="1:13" x14ac:dyDescent="0.45">
      <c r="A34" s="39" t="s">
        <v>1011</v>
      </c>
      <c r="B34" s="39" t="str">
        <f t="shared" si="1"/>
        <v>行き</v>
      </c>
      <c r="C34" s="74" t="s">
        <v>1266</v>
      </c>
      <c r="D34" s="39" t="str" cm="1">
        <f t="array" ref="D34">TRIM(INDEX(_xlfn.TEXTSPLIT(C34, " "), 1))</f>
        <v>21:19:47.967954</v>
      </c>
      <c r="E34" s="39" t="str" cm="1">
        <f t="array" ref="E34">TRIM(INDEX(_xlfn.TEXTSPLIT(C34, " "), 2))</f>
        <v>IP</v>
      </c>
      <c r="F34" s="39" t="str" cm="1">
        <f t="array" ref="F34">TRIM(INDEX(_xlfn.TEXTSPLIT(C34, " "), 3))</f>
        <v>10.0.2.15</v>
      </c>
      <c r="G34" s="39" t="str" cm="1">
        <f t="array" ref="G34">TRIM(INDEX(_xlfn.TEXTSPLIT(C34, " "), 4))</f>
        <v>&gt;</v>
      </c>
      <c r="H34" s="39" t="str" cm="1">
        <f t="array" ref="H34">_xlfn.LET(
    _xlpm.v, TRIM(INDEX(_xlfn.TEXTSPLIT(C34, " "), 5)),
    IF(RIGHT(_xlpm.v,1)=":", LEFT(_xlpm.v, LEN(_xlpm.v)-1), _xlpm.v)
)</f>
        <v>8.8.8.8</v>
      </c>
      <c r="I34" s="39" t="str" cm="1">
        <f t="array" ref="I34">TRIM(INDEX(_xlfn.TEXTSPLIT(C34, " "), 6))</f>
        <v>ICMP</v>
      </c>
      <c r="J34" s="39" t="str">
        <f t="shared" si="2"/>
        <v>echo request</v>
      </c>
      <c r="K34" s="39" t="str">
        <f t="shared" si="5"/>
        <v>id 2</v>
      </c>
      <c r="L34" s="39" t="str">
        <f t="shared" si="3"/>
        <v>seq 1</v>
      </c>
      <c r="M34" s="39" t="str">
        <f t="shared" si="4"/>
        <v>length 64</v>
      </c>
    </row>
    <row r="35" spans="1:13" x14ac:dyDescent="0.45">
      <c r="A35" s="39" t="s">
        <v>1012</v>
      </c>
      <c r="B35" s="39" t="str">
        <f t="shared" si="1"/>
        <v>返り</v>
      </c>
      <c r="C35" s="74" t="s">
        <v>1267</v>
      </c>
      <c r="D35" s="39" t="str" cm="1">
        <f t="array" ref="D35">TRIM(INDEX(_xlfn.TEXTSPLIT(C35, " "), 1))</f>
        <v>21:19:47.993545</v>
      </c>
      <c r="E35" s="39" t="str" cm="1">
        <f t="array" ref="E35">TRIM(INDEX(_xlfn.TEXTSPLIT(C35, " "), 2))</f>
        <v>IP</v>
      </c>
      <c r="F35" s="39" t="str" cm="1">
        <f t="array" ref="F35">TRIM(INDEX(_xlfn.TEXTSPLIT(C35, " "), 3))</f>
        <v>8.8.8.8</v>
      </c>
      <c r="G35" s="39" t="str" cm="1">
        <f t="array" ref="G35">TRIM(INDEX(_xlfn.TEXTSPLIT(C35, " "), 4))</f>
        <v>&gt;</v>
      </c>
      <c r="H35" s="39" t="str" cm="1">
        <f t="array" ref="H35">_xlfn.LET(
    _xlpm.v, TRIM(INDEX(_xlfn.TEXTSPLIT(C35, " "), 5)),
    IF(RIGHT(_xlpm.v,1)=":", LEFT(_xlpm.v, LEN(_xlpm.v)-1), _xlpm.v)
)</f>
        <v>10.0.2.15</v>
      </c>
      <c r="I35" s="39" t="str" cm="1">
        <f t="array" ref="I35">TRIM(INDEX(_xlfn.TEXTSPLIT(C35, " "), 6))</f>
        <v>ICMP</v>
      </c>
      <c r="J35" s="39" t="str">
        <f t="shared" si="2"/>
        <v>echo reply</v>
      </c>
      <c r="K35" s="39" t="str">
        <f t="shared" si="5"/>
        <v>id 2</v>
      </c>
      <c r="L35" s="39" t="str">
        <f t="shared" si="3"/>
        <v>seq 1</v>
      </c>
      <c r="M35" s="39" t="str">
        <f t="shared" si="4"/>
        <v>length 64</v>
      </c>
    </row>
    <row r="36" spans="1:13" x14ac:dyDescent="0.45">
      <c r="A36" s="39" t="s">
        <v>990</v>
      </c>
      <c r="B36" s="39" t="str">
        <f t="shared" si="1"/>
        <v>行き</v>
      </c>
      <c r="C36" s="74" t="s">
        <v>1279</v>
      </c>
      <c r="D36" s="39" t="str" cm="1">
        <f t="array" ref="D36">TRIM(INDEX(_xlfn.TEXTSPLIT(C36, " "), 1))</f>
        <v>21:21:12.613549</v>
      </c>
      <c r="E36" s="39" t="str" cm="1">
        <f t="array" ref="E36">TRIM(INDEX(_xlfn.TEXTSPLIT(C36, " "), 2))</f>
        <v>IP</v>
      </c>
      <c r="F36" s="39" t="str" cm="1">
        <f t="array" ref="F36">TRIM(INDEX(_xlfn.TEXTSPLIT(C36, " "), 3))</f>
        <v>192.168.100.30</v>
      </c>
      <c r="G36" s="39" t="str" cm="1">
        <f t="array" ref="G36">TRIM(INDEX(_xlfn.TEXTSPLIT(C36, " "), 4))</f>
        <v>&gt;</v>
      </c>
      <c r="H36" s="39" t="str" cm="1">
        <f t="array" ref="H36">_xlfn.LET(
    _xlpm.v, TRIM(INDEX(_xlfn.TEXTSPLIT(C36, " "), 5)),
    IF(RIGHT(_xlpm.v,1)=":", LEFT(_xlpm.v, LEN(_xlpm.v)-1), _xlpm.v)
)</f>
        <v>8.8.8.8</v>
      </c>
      <c r="I36" s="39" t="str" cm="1">
        <f t="array" ref="I36">TRIM(INDEX(_xlfn.TEXTSPLIT(C36, " "), 6))</f>
        <v>ICMP</v>
      </c>
      <c r="J36" s="39" t="str">
        <f t="shared" si="2"/>
        <v>echo request</v>
      </c>
      <c r="K36" s="39" t="str">
        <f t="shared" si="5"/>
        <v>id 1</v>
      </c>
      <c r="L36" s="39" t="str">
        <f t="shared" si="3"/>
        <v>seq 1</v>
      </c>
      <c r="M36" s="39" t="str">
        <f t="shared" si="4"/>
        <v>length 64</v>
      </c>
    </row>
    <row r="37" spans="1:13" x14ac:dyDescent="0.45">
      <c r="A37" s="39" t="s">
        <v>1013</v>
      </c>
      <c r="B37" s="39" t="str">
        <f t="shared" si="1"/>
        <v>返り</v>
      </c>
      <c r="C37" s="74" t="s">
        <v>1280</v>
      </c>
      <c r="D37" s="39" t="str" cm="1">
        <f t="array" ref="D37">TRIM(INDEX(_xlfn.TEXTSPLIT(C37, " "), 1))</f>
        <v>21:21:12.638320</v>
      </c>
      <c r="E37" s="39" t="str" cm="1">
        <f t="array" ref="E37">TRIM(INDEX(_xlfn.TEXTSPLIT(C37, " "), 2))</f>
        <v>IP</v>
      </c>
      <c r="F37" s="39" t="str" cm="1">
        <f t="array" ref="F37">TRIM(INDEX(_xlfn.TEXTSPLIT(C37, " "), 3))</f>
        <v>8.8.8.8</v>
      </c>
      <c r="G37" s="39" t="str" cm="1">
        <f t="array" ref="G37">TRIM(INDEX(_xlfn.TEXTSPLIT(C37, " "), 4))</f>
        <v>&gt;</v>
      </c>
      <c r="H37" s="39" t="str" cm="1">
        <f t="array" ref="H37">_xlfn.LET(
    _xlpm.v, TRIM(INDEX(_xlfn.TEXTSPLIT(C37, " "), 5)),
    IF(RIGHT(_xlpm.v,1)=":", LEFT(_xlpm.v, LEN(_xlpm.v)-1), _xlpm.v)
)</f>
        <v>192.168.100.30</v>
      </c>
      <c r="I37" s="39" t="str" cm="1">
        <f t="array" ref="I37">TRIM(INDEX(_xlfn.TEXTSPLIT(C37, " "), 6))</f>
        <v>ICMP</v>
      </c>
      <c r="J37" s="39" t="str">
        <f t="shared" si="2"/>
        <v>echo reply</v>
      </c>
      <c r="K37" s="39" t="str">
        <f t="shared" si="5"/>
        <v>id 1</v>
      </c>
      <c r="L37" s="39" t="str">
        <f t="shared" si="3"/>
        <v>seq 1</v>
      </c>
      <c r="M37" s="39" t="str">
        <f t="shared" si="4"/>
        <v>length 64</v>
      </c>
    </row>
    <row r="38" spans="1:13" x14ac:dyDescent="0.45">
      <c r="A38" s="39" t="s">
        <v>1014</v>
      </c>
      <c r="B38" s="39" t="str">
        <f t="shared" ref="B38:B59" si="7">IF(J38="echo request","行き",IF(J38="echo reply","返り",""))</f>
        <v>行き</v>
      </c>
      <c r="C38" s="74" t="s">
        <v>1292</v>
      </c>
      <c r="D38" s="39" t="str" cm="1">
        <f t="array" ref="D38">TRIM(INDEX(_xlfn.TEXTSPLIT(C38, " "), 1))</f>
        <v>21:21:41.629219</v>
      </c>
      <c r="E38" s="39" t="str" cm="1">
        <f t="array" ref="E38">TRIM(INDEX(_xlfn.TEXTSPLIT(C38, " "), 2))</f>
        <v>IP</v>
      </c>
      <c r="F38" s="39" t="str" cm="1">
        <f t="array" ref="F38">TRIM(INDEX(_xlfn.TEXTSPLIT(C38, " "), 3))</f>
        <v>10.0.2.15</v>
      </c>
      <c r="G38" s="39" t="str" cm="1">
        <f t="array" ref="G38">TRIM(INDEX(_xlfn.TEXTSPLIT(C38, " "), 4))</f>
        <v>&gt;</v>
      </c>
      <c r="H38" s="39" t="str" cm="1">
        <f t="array" ref="H38">_xlfn.LET(
    _xlpm.v, TRIM(INDEX(_xlfn.TEXTSPLIT(C38, " "), 5)),
    IF(RIGHT(_xlpm.v,1)=":", LEFT(_xlpm.v, LEN(_xlpm.v)-1), _xlpm.v)
)</f>
        <v>8.8.8.8</v>
      </c>
      <c r="I38" s="39" t="str" cm="1">
        <f t="array" ref="I38">TRIM(INDEX(_xlfn.TEXTSPLIT(C38, " "), 6))</f>
        <v>ICMP</v>
      </c>
      <c r="J38" s="39" t="str">
        <f t="shared" si="2"/>
        <v>echo request</v>
      </c>
      <c r="K38" s="39" t="str">
        <f t="shared" si="5"/>
        <v>id 2</v>
      </c>
      <c r="L38" s="39" t="str">
        <f t="shared" si="3"/>
        <v>seq 1</v>
      </c>
      <c r="M38" s="39" t="str">
        <f t="shared" si="4"/>
        <v>length 64</v>
      </c>
    </row>
    <row r="39" spans="1:13" x14ac:dyDescent="0.45">
      <c r="A39" s="39" t="s">
        <v>1015</v>
      </c>
      <c r="B39" s="39" t="str">
        <f t="shared" si="7"/>
        <v>返り</v>
      </c>
      <c r="C39" s="74" t="s">
        <v>1293</v>
      </c>
      <c r="D39" s="39" t="str" cm="1">
        <f t="array" ref="D39">TRIM(INDEX(_xlfn.TEXTSPLIT(C39, " "), 1))</f>
        <v>21:21:41.653718</v>
      </c>
      <c r="E39" s="39" t="str" cm="1">
        <f t="array" ref="E39">TRIM(INDEX(_xlfn.TEXTSPLIT(C39, " "), 2))</f>
        <v>IP</v>
      </c>
      <c r="F39" s="39" t="str" cm="1">
        <f t="array" ref="F39">TRIM(INDEX(_xlfn.TEXTSPLIT(C39, " "), 3))</f>
        <v>8.8.8.8</v>
      </c>
      <c r="G39" s="39" t="str" cm="1">
        <f t="array" ref="G39">TRIM(INDEX(_xlfn.TEXTSPLIT(C39, " "), 4))</f>
        <v>&gt;</v>
      </c>
      <c r="H39" s="39" t="str" cm="1">
        <f t="array" ref="H39">_xlfn.LET(
    _xlpm.v, TRIM(INDEX(_xlfn.TEXTSPLIT(C39, " "), 5)),
    IF(RIGHT(_xlpm.v,1)=":", LEFT(_xlpm.v, LEN(_xlpm.v)-1), _xlpm.v)
)</f>
        <v>10.0.2.15</v>
      </c>
      <c r="I39" s="39" t="str" cm="1">
        <f t="array" ref="I39">TRIM(INDEX(_xlfn.TEXTSPLIT(C39, " "), 6))</f>
        <v>ICMP</v>
      </c>
      <c r="J39" s="39" t="str">
        <f t="shared" si="2"/>
        <v>echo reply</v>
      </c>
      <c r="K39" s="39" t="str">
        <f t="shared" si="5"/>
        <v>id 2</v>
      </c>
      <c r="L39" s="39" t="str">
        <f t="shared" si="3"/>
        <v>seq 1</v>
      </c>
      <c r="M39" s="39" t="str">
        <f t="shared" si="4"/>
        <v>length 64</v>
      </c>
    </row>
    <row r="40" spans="1:13" x14ac:dyDescent="0.45">
      <c r="A40" s="39" t="s">
        <v>991</v>
      </c>
      <c r="B40" s="39" t="str">
        <f t="shared" si="7"/>
        <v>行き</v>
      </c>
      <c r="C40" s="74" t="s">
        <v>1306</v>
      </c>
      <c r="D40" s="39" t="str" cm="1">
        <f t="array" ref="D40">TRIM(INDEX(_xlfn.TEXTSPLIT(C40, " "), 1))</f>
        <v>21:23:51.479852</v>
      </c>
      <c r="E40" s="39" t="str" cm="1">
        <f t="array" ref="E40">TRIM(INDEX(_xlfn.TEXTSPLIT(C40, " "), 2))</f>
        <v>IP</v>
      </c>
      <c r="F40" s="39" t="str" cm="1">
        <f t="array" ref="F40">TRIM(INDEX(_xlfn.TEXTSPLIT(C40, " "), 3))</f>
        <v>192.168.100.31</v>
      </c>
      <c r="G40" s="39" t="str" cm="1">
        <f t="array" ref="G40">TRIM(INDEX(_xlfn.TEXTSPLIT(C40, " "), 4))</f>
        <v>&gt;</v>
      </c>
      <c r="H40" s="39" t="str" cm="1">
        <f t="array" ref="H40">_xlfn.LET(
    _xlpm.v, TRIM(INDEX(_xlfn.TEXTSPLIT(C40, " "), 5)),
    IF(RIGHT(_xlpm.v,1)=":", LEFT(_xlpm.v, LEN(_xlpm.v)-1), _xlpm.v)
)</f>
        <v>8.8.8.8</v>
      </c>
      <c r="I40" s="39" t="str" cm="1">
        <f t="array" ref="I40">TRIM(INDEX(_xlfn.TEXTSPLIT(C40, " "), 6))</f>
        <v>ICMP</v>
      </c>
      <c r="J40" s="39" t="str">
        <f t="shared" si="2"/>
        <v>echo request</v>
      </c>
      <c r="K40" s="39" t="str">
        <f t="shared" si="5"/>
        <v>id 1</v>
      </c>
      <c r="L40" s="39" t="str">
        <f t="shared" si="3"/>
        <v>seq 1</v>
      </c>
      <c r="M40" s="39" t="str">
        <f t="shared" si="4"/>
        <v>length 64</v>
      </c>
    </row>
    <row r="41" spans="1:13" x14ac:dyDescent="0.45">
      <c r="A41" s="39" t="s">
        <v>1016</v>
      </c>
      <c r="B41" s="39" t="str">
        <f t="shared" si="7"/>
        <v>返り</v>
      </c>
      <c r="C41" s="74" t="s">
        <v>1307</v>
      </c>
      <c r="D41" s="39" t="str" cm="1">
        <f t="array" ref="D41">TRIM(INDEX(_xlfn.TEXTSPLIT(C41, " "), 1))</f>
        <v>21:23:51.504390</v>
      </c>
      <c r="E41" s="39" t="str" cm="1">
        <f t="array" ref="E41">TRIM(INDEX(_xlfn.TEXTSPLIT(C41, " "), 2))</f>
        <v>IP</v>
      </c>
      <c r="F41" s="39" t="str" cm="1">
        <f t="array" ref="F41">TRIM(INDEX(_xlfn.TEXTSPLIT(C41, " "), 3))</f>
        <v>8.8.8.8</v>
      </c>
      <c r="G41" s="39" t="str" cm="1">
        <f t="array" ref="G41">TRIM(INDEX(_xlfn.TEXTSPLIT(C41, " "), 4))</f>
        <v>&gt;</v>
      </c>
      <c r="H41" s="39" t="str" cm="1">
        <f t="array" ref="H41">_xlfn.LET(
    _xlpm.v, TRIM(INDEX(_xlfn.TEXTSPLIT(C41, " "), 5)),
    IF(RIGHT(_xlpm.v,1)=":", LEFT(_xlpm.v, LEN(_xlpm.v)-1), _xlpm.v)
)</f>
        <v>192.168.100.31</v>
      </c>
      <c r="I41" s="39" t="str" cm="1">
        <f t="array" ref="I41">TRIM(INDEX(_xlfn.TEXTSPLIT(C41, " "), 6))</f>
        <v>ICMP</v>
      </c>
      <c r="J41" s="39" t="str">
        <f t="shared" si="2"/>
        <v>echo reply</v>
      </c>
      <c r="K41" s="39" t="str">
        <f t="shared" si="5"/>
        <v>id 1</v>
      </c>
      <c r="L41" s="39" t="str">
        <f t="shared" si="3"/>
        <v>seq 1</v>
      </c>
      <c r="M41" s="39" t="str">
        <f t="shared" si="4"/>
        <v>length 64</v>
      </c>
    </row>
    <row r="42" spans="1:13" x14ac:dyDescent="0.45">
      <c r="A42" s="39" t="s">
        <v>1017</v>
      </c>
      <c r="B42" s="39" t="str">
        <f t="shared" si="7"/>
        <v>行き</v>
      </c>
      <c r="C42" s="74" t="s">
        <v>1318</v>
      </c>
      <c r="D42" s="39" t="str" cm="1">
        <f t="array" ref="D42">TRIM(INDEX(_xlfn.TEXTSPLIT(C42, " "), 1))</f>
        <v>21:24:15.588944</v>
      </c>
      <c r="E42" s="39" t="str" cm="1">
        <f t="array" ref="E42">TRIM(INDEX(_xlfn.TEXTSPLIT(C42, " "), 2))</f>
        <v>IP</v>
      </c>
      <c r="F42" s="39" t="str" cm="1">
        <f t="array" ref="F42">TRIM(INDEX(_xlfn.TEXTSPLIT(C42, " "), 3))</f>
        <v>10.0.2.15</v>
      </c>
      <c r="G42" s="39" t="str" cm="1">
        <f t="array" ref="G42">TRIM(INDEX(_xlfn.TEXTSPLIT(C42, " "), 4))</f>
        <v>&gt;</v>
      </c>
      <c r="H42" s="39" t="str" cm="1">
        <f t="array" ref="H42">_xlfn.LET(
    _xlpm.v, TRIM(INDEX(_xlfn.TEXTSPLIT(C42, " "), 5)),
    IF(RIGHT(_xlpm.v,1)=":", LEFT(_xlpm.v, LEN(_xlpm.v)-1), _xlpm.v)
)</f>
        <v>8.8.8.8</v>
      </c>
      <c r="I42" s="39" t="str" cm="1">
        <f t="array" ref="I42">TRIM(INDEX(_xlfn.TEXTSPLIT(C42, " "), 6))</f>
        <v>ICMP</v>
      </c>
      <c r="J42" s="39" t="str">
        <f t="shared" si="2"/>
        <v>echo request</v>
      </c>
      <c r="K42" s="39" t="str">
        <f t="shared" si="5"/>
        <v>id 2</v>
      </c>
      <c r="L42" s="39" t="str">
        <f t="shared" si="3"/>
        <v>seq 1</v>
      </c>
      <c r="M42" s="39" t="str">
        <f t="shared" si="4"/>
        <v>length 64</v>
      </c>
    </row>
    <row r="43" spans="1:13" x14ac:dyDescent="0.45">
      <c r="A43" s="39" t="s">
        <v>1018</v>
      </c>
      <c r="B43" s="39" t="str">
        <f t="shared" si="7"/>
        <v>返り</v>
      </c>
      <c r="C43" s="74" t="s">
        <v>1319</v>
      </c>
      <c r="D43" s="39" t="str" cm="1">
        <f t="array" ref="D43">TRIM(INDEX(_xlfn.TEXTSPLIT(C43, " "), 1))</f>
        <v>21:24:15.613410</v>
      </c>
      <c r="E43" s="39" t="str" cm="1">
        <f t="array" ref="E43">TRIM(INDEX(_xlfn.TEXTSPLIT(C43, " "), 2))</f>
        <v>IP</v>
      </c>
      <c r="F43" s="39" t="str" cm="1">
        <f t="array" ref="F43">TRIM(INDEX(_xlfn.TEXTSPLIT(C43, " "), 3))</f>
        <v>8.8.8.8</v>
      </c>
      <c r="G43" s="39" t="str" cm="1">
        <f t="array" ref="G43">TRIM(INDEX(_xlfn.TEXTSPLIT(C43, " "), 4))</f>
        <v>&gt;</v>
      </c>
      <c r="H43" s="39" t="str" cm="1">
        <f t="array" ref="H43">_xlfn.LET(
    _xlpm.v, TRIM(INDEX(_xlfn.TEXTSPLIT(C43, " "), 5)),
    IF(RIGHT(_xlpm.v,1)=":", LEFT(_xlpm.v, LEN(_xlpm.v)-1), _xlpm.v)
)</f>
        <v>10.0.2.15</v>
      </c>
      <c r="I43" s="39" t="str" cm="1">
        <f t="array" ref="I43">TRIM(INDEX(_xlfn.TEXTSPLIT(C43, " "), 6))</f>
        <v>ICMP</v>
      </c>
      <c r="J43" s="39" t="str">
        <f t="shared" si="2"/>
        <v>echo reply</v>
      </c>
      <c r="K43" s="39" t="str">
        <f t="shared" si="5"/>
        <v>id 2</v>
      </c>
      <c r="L43" s="39" t="str">
        <f t="shared" si="3"/>
        <v>seq 1</v>
      </c>
      <c r="M43" s="39" t="str">
        <f t="shared" si="4"/>
        <v>length 64</v>
      </c>
    </row>
    <row r="44" spans="1:13" x14ac:dyDescent="0.45">
      <c r="A44" s="39" t="s">
        <v>992</v>
      </c>
      <c r="B44" s="39" t="str">
        <f t="shared" si="7"/>
        <v>行き</v>
      </c>
      <c r="C44" s="74" t="s">
        <v>1332</v>
      </c>
      <c r="D44" s="39" t="str" cm="1">
        <f t="array" ref="D44">TRIM(INDEX(_xlfn.TEXTSPLIT(C44, " "), 1))</f>
        <v>21:26:09.852076</v>
      </c>
      <c r="E44" s="39" t="str" cm="1">
        <f t="array" ref="E44">TRIM(INDEX(_xlfn.TEXTSPLIT(C44, " "), 2))</f>
        <v>IP</v>
      </c>
      <c r="F44" s="39" t="str" cm="1">
        <f t="array" ref="F44">TRIM(INDEX(_xlfn.TEXTSPLIT(C44, " "), 3))</f>
        <v>192.168.110.8</v>
      </c>
      <c r="G44" s="39" t="str" cm="1">
        <f t="array" ref="G44">TRIM(INDEX(_xlfn.TEXTSPLIT(C44, " "), 4))</f>
        <v>&gt;</v>
      </c>
      <c r="H44" s="39" t="str" cm="1">
        <f t="array" ref="H44">_xlfn.LET(
    _xlpm.v, TRIM(INDEX(_xlfn.TEXTSPLIT(C44, " "), 5)),
    IF(RIGHT(_xlpm.v,1)=":", LEFT(_xlpm.v, LEN(_xlpm.v)-1), _xlpm.v)
)</f>
        <v>8.8.8.8</v>
      </c>
      <c r="I44" s="39" t="str" cm="1">
        <f t="array" ref="I44">TRIM(INDEX(_xlfn.TEXTSPLIT(C44, " "), 6))</f>
        <v>ICMP</v>
      </c>
      <c r="J44" s="39" t="str">
        <f t="shared" si="2"/>
        <v>echo request</v>
      </c>
      <c r="K44" s="39" t="str">
        <f t="shared" si="5"/>
        <v>id 1</v>
      </c>
      <c r="L44" s="39" t="str">
        <f t="shared" si="3"/>
        <v>seq 1</v>
      </c>
      <c r="M44" s="39" t="str">
        <f t="shared" si="4"/>
        <v>length 64</v>
      </c>
    </row>
    <row r="45" spans="1:13" x14ac:dyDescent="0.45">
      <c r="A45" s="39" t="s">
        <v>1019</v>
      </c>
      <c r="B45" s="39" t="str">
        <f t="shared" si="7"/>
        <v>返り</v>
      </c>
      <c r="C45" s="74" t="s">
        <v>1333</v>
      </c>
      <c r="D45" s="39" t="str" cm="1">
        <f t="array" ref="D45">TRIM(INDEX(_xlfn.TEXTSPLIT(C45, " "), 1))</f>
        <v>21:26:09.883749</v>
      </c>
      <c r="E45" s="39" t="str" cm="1">
        <f t="array" ref="E45">TRIM(INDEX(_xlfn.TEXTSPLIT(C45, " "), 2))</f>
        <v>IP</v>
      </c>
      <c r="F45" s="39" t="str" cm="1">
        <f t="array" ref="F45">TRIM(INDEX(_xlfn.TEXTSPLIT(C45, " "), 3))</f>
        <v>8.8.8.8</v>
      </c>
      <c r="G45" s="39" t="str" cm="1">
        <f t="array" ref="G45">TRIM(INDEX(_xlfn.TEXTSPLIT(C45, " "), 4))</f>
        <v>&gt;</v>
      </c>
      <c r="H45" s="39" t="str" cm="1">
        <f t="array" ref="H45">_xlfn.LET(
    _xlpm.v, TRIM(INDEX(_xlfn.TEXTSPLIT(C45, " "), 5)),
    IF(RIGHT(_xlpm.v,1)=":", LEFT(_xlpm.v, LEN(_xlpm.v)-1), _xlpm.v)
)</f>
        <v>192.168.110.8</v>
      </c>
      <c r="I45" s="39" t="str" cm="1">
        <f t="array" ref="I45">TRIM(INDEX(_xlfn.TEXTSPLIT(C45, " "), 6))</f>
        <v>ICMP</v>
      </c>
      <c r="J45" s="39" t="str">
        <f t="shared" si="2"/>
        <v>echo reply</v>
      </c>
      <c r="K45" s="39" t="str">
        <f t="shared" si="5"/>
        <v>id 1</v>
      </c>
      <c r="L45" s="39" t="str">
        <f t="shared" si="3"/>
        <v>seq 1</v>
      </c>
      <c r="M45" s="39" t="str">
        <f t="shared" si="4"/>
        <v>length 64</v>
      </c>
    </row>
    <row r="46" spans="1:13" x14ac:dyDescent="0.45">
      <c r="A46" s="39" t="s">
        <v>1020</v>
      </c>
      <c r="B46" s="39" t="str">
        <f t="shared" si="7"/>
        <v>行き</v>
      </c>
      <c r="C46" s="74" t="s">
        <v>1345</v>
      </c>
      <c r="D46" s="39" t="str" cm="1">
        <f t="array" ref="D46">TRIM(INDEX(_xlfn.TEXTSPLIT(C46, " "), 1))</f>
        <v>21:26:37.708092</v>
      </c>
      <c r="E46" s="39" t="str" cm="1">
        <f t="array" ref="E46">TRIM(INDEX(_xlfn.TEXTSPLIT(C46, " "), 2))</f>
        <v>IP</v>
      </c>
      <c r="F46" s="39" t="str" cm="1">
        <f t="array" ref="F46">TRIM(INDEX(_xlfn.TEXTSPLIT(C46, " "), 3))</f>
        <v>10.0.2.15</v>
      </c>
      <c r="G46" s="39" t="str" cm="1">
        <f t="array" ref="G46">TRIM(INDEX(_xlfn.TEXTSPLIT(C46, " "), 4))</f>
        <v>&gt;</v>
      </c>
      <c r="H46" s="39" t="str" cm="1">
        <f t="array" ref="H46">_xlfn.LET(
    _xlpm.v, TRIM(INDEX(_xlfn.TEXTSPLIT(C46, " "), 5)),
    IF(RIGHT(_xlpm.v,1)=":", LEFT(_xlpm.v, LEN(_xlpm.v)-1), _xlpm.v)
)</f>
        <v>8.8.8.8</v>
      </c>
      <c r="I46" s="39" t="str" cm="1">
        <f t="array" ref="I46">TRIM(INDEX(_xlfn.TEXTSPLIT(C46, " "), 6))</f>
        <v>ICMP</v>
      </c>
      <c r="J46" s="39" t="str">
        <f t="shared" si="2"/>
        <v>echo request</v>
      </c>
      <c r="K46" s="39" t="str">
        <f t="shared" si="5"/>
        <v>id 2</v>
      </c>
      <c r="L46" s="39" t="str">
        <f t="shared" si="3"/>
        <v>seq 1</v>
      </c>
      <c r="M46" s="39" t="str">
        <f t="shared" si="4"/>
        <v>length 64</v>
      </c>
    </row>
    <row r="47" spans="1:13" x14ac:dyDescent="0.45">
      <c r="A47" s="39" t="s">
        <v>1021</v>
      </c>
      <c r="B47" s="39" t="str">
        <f t="shared" si="7"/>
        <v>返り</v>
      </c>
      <c r="C47" s="74" t="s">
        <v>1346</v>
      </c>
      <c r="D47" s="39" t="str" cm="1">
        <f t="array" ref="D47">TRIM(INDEX(_xlfn.TEXTSPLIT(C47, " "), 1))</f>
        <v>21:26:37.733794</v>
      </c>
      <c r="E47" s="39" t="str" cm="1">
        <f t="array" ref="E47">TRIM(INDEX(_xlfn.TEXTSPLIT(C47, " "), 2))</f>
        <v>IP</v>
      </c>
      <c r="F47" s="39" t="str" cm="1">
        <f t="array" ref="F47">TRIM(INDEX(_xlfn.TEXTSPLIT(C47, " "), 3))</f>
        <v>8.8.8.8</v>
      </c>
      <c r="G47" s="39" t="str" cm="1">
        <f t="array" ref="G47">TRIM(INDEX(_xlfn.TEXTSPLIT(C47, " "), 4))</f>
        <v>&gt;</v>
      </c>
      <c r="H47" s="39" t="str" cm="1">
        <f t="array" ref="H47">_xlfn.LET(
    _xlpm.v, TRIM(INDEX(_xlfn.TEXTSPLIT(C47, " "), 5)),
    IF(RIGHT(_xlpm.v,1)=":", LEFT(_xlpm.v, LEN(_xlpm.v)-1), _xlpm.v)
)</f>
        <v>10.0.2.15</v>
      </c>
      <c r="I47" s="39" t="str" cm="1">
        <f t="array" ref="I47">TRIM(INDEX(_xlfn.TEXTSPLIT(C47, " "), 6))</f>
        <v>ICMP</v>
      </c>
      <c r="J47" s="39" t="str">
        <f t="shared" si="2"/>
        <v>echo reply</v>
      </c>
      <c r="K47" s="39" t="str">
        <f t="shared" si="5"/>
        <v>id 2</v>
      </c>
      <c r="L47" s="39" t="str">
        <f t="shared" si="3"/>
        <v>seq 1</v>
      </c>
      <c r="M47" s="39" t="str">
        <f t="shared" si="4"/>
        <v>length 64</v>
      </c>
    </row>
    <row r="48" spans="1:13" x14ac:dyDescent="0.45">
      <c r="A48" s="39" t="s">
        <v>1022</v>
      </c>
      <c r="B48" s="39" t="str">
        <f t="shared" si="7"/>
        <v>行き</v>
      </c>
      <c r="C48" s="74" t="s">
        <v>1358</v>
      </c>
      <c r="D48" s="39" t="str" cm="1">
        <f t="array" ref="D48">TRIM(INDEX(_xlfn.TEXTSPLIT(C48, " "), 1))</f>
        <v>21:28:23.110667</v>
      </c>
      <c r="E48" s="39" t="str" cm="1">
        <f t="array" ref="E48">TRIM(INDEX(_xlfn.TEXTSPLIT(C48, " "), 2))</f>
        <v>IP</v>
      </c>
      <c r="F48" s="39" t="str" cm="1">
        <f t="array" ref="F48">TRIM(INDEX(_xlfn.TEXTSPLIT(C48, " "), 3))</f>
        <v>192.168.110.9</v>
      </c>
      <c r="G48" s="39" t="str" cm="1">
        <f t="array" ref="G48">TRIM(INDEX(_xlfn.TEXTSPLIT(C48, " "), 4))</f>
        <v>&gt;</v>
      </c>
      <c r="H48" s="39" t="str" cm="1">
        <f t="array" ref="H48">_xlfn.LET(
    _xlpm.v, TRIM(INDEX(_xlfn.TEXTSPLIT(C48, " "), 5)),
    IF(RIGHT(_xlpm.v,1)=":", LEFT(_xlpm.v, LEN(_xlpm.v)-1), _xlpm.v)
)</f>
        <v>8.8.8.8</v>
      </c>
      <c r="I48" s="39" t="str" cm="1">
        <f t="array" ref="I48">TRIM(INDEX(_xlfn.TEXTSPLIT(C48, " "), 6))</f>
        <v>ICMP</v>
      </c>
      <c r="J48" s="39" t="str">
        <f t="shared" si="2"/>
        <v>echo request</v>
      </c>
      <c r="K48" s="39" t="str">
        <f t="shared" si="5"/>
        <v>id 1</v>
      </c>
      <c r="L48" s="39" t="str">
        <f t="shared" si="3"/>
        <v>seq 1</v>
      </c>
      <c r="M48" s="39" t="str">
        <f t="shared" si="4"/>
        <v>length 64</v>
      </c>
    </row>
    <row r="49" spans="1:13" x14ac:dyDescent="0.45">
      <c r="A49" s="39" t="s">
        <v>1023</v>
      </c>
      <c r="B49" s="39" t="str">
        <f t="shared" si="7"/>
        <v>返り</v>
      </c>
      <c r="C49" s="74" t="s">
        <v>1359</v>
      </c>
      <c r="D49" s="39" t="str" cm="1">
        <f t="array" ref="D49">TRIM(INDEX(_xlfn.TEXTSPLIT(C49, " "), 1))</f>
        <v>21:28:23.133806</v>
      </c>
      <c r="E49" s="39" t="str" cm="1">
        <f t="array" ref="E49">TRIM(INDEX(_xlfn.TEXTSPLIT(C49, " "), 2))</f>
        <v>IP</v>
      </c>
      <c r="F49" s="39" t="str" cm="1">
        <f t="array" ref="F49">TRIM(INDEX(_xlfn.TEXTSPLIT(C49, " "), 3))</f>
        <v>8.8.8.8</v>
      </c>
      <c r="G49" s="39" t="str" cm="1">
        <f t="array" ref="G49">TRIM(INDEX(_xlfn.TEXTSPLIT(C49, " "), 4))</f>
        <v>&gt;</v>
      </c>
      <c r="H49" s="39" t="str" cm="1">
        <f t="array" ref="H49">_xlfn.LET(
    _xlpm.v, TRIM(INDEX(_xlfn.TEXTSPLIT(C49, " "), 5)),
    IF(RIGHT(_xlpm.v,1)=":", LEFT(_xlpm.v, LEN(_xlpm.v)-1), _xlpm.v)
)</f>
        <v>192.168.110.9</v>
      </c>
      <c r="I49" s="39" t="str" cm="1">
        <f t="array" ref="I49">TRIM(INDEX(_xlfn.TEXTSPLIT(C49, " "), 6))</f>
        <v>ICMP</v>
      </c>
      <c r="J49" s="39" t="str">
        <f t="shared" si="2"/>
        <v>echo reply</v>
      </c>
      <c r="K49" s="39" t="str">
        <f t="shared" si="5"/>
        <v>id 1</v>
      </c>
      <c r="L49" s="39" t="str">
        <f t="shared" si="3"/>
        <v>seq 1</v>
      </c>
      <c r="M49" s="39" t="str">
        <f t="shared" si="4"/>
        <v>length 64</v>
      </c>
    </row>
    <row r="50" spans="1:13" x14ac:dyDescent="0.45">
      <c r="A50" s="39" t="s">
        <v>1024</v>
      </c>
      <c r="B50" s="39" t="str">
        <f t="shared" si="7"/>
        <v>行き</v>
      </c>
      <c r="C50" s="74" t="s">
        <v>1371</v>
      </c>
      <c r="D50" s="39" t="str" cm="1">
        <f t="array" ref="D50">TRIM(INDEX(_xlfn.TEXTSPLIT(C50, " "), 1))</f>
        <v>21:28:49.480416</v>
      </c>
      <c r="E50" s="39" t="str" cm="1">
        <f t="array" ref="E50">TRIM(INDEX(_xlfn.TEXTSPLIT(C50, " "), 2))</f>
        <v>IP</v>
      </c>
      <c r="F50" s="39" t="str" cm="1">
        <f t="array" ref="F50">TRIM(INDEX(_xlfn.TEXTSPLIT(C50, " "), 3))</f>
        <v>10.0.2.15</v>
      </c>
      <c r="G50" s="39" t="str" cm="1">
        <f t="array" ref="G50">TRIM(INDEX(_xlfn.TEXTSPLIT(C50, " "), 4))</f>
        <v>&gt;</v>
      </c>
      <c r="H50" s="39" t="str" cm="1">
        <f t="array" ref="H50">_xlfn.LET(
    _xlpm.v, TRIM(INDEX(_xlfn.TEXTSPLIT(C50, " "), 5)),
    IF(RIGHT(_xlpm.v,1)=":", LEFT(_xlpm.v, LEN(_xlpm.v)-1), _xlpm.v)
)</f>
        <v>8.8.8.8</v>
      </c>
      <c r="I50" s="39" t="str" cm="1">
        <f t="array" ref="I50">TRIM(INDEX(_xlfn.TEXTSPLIT(C50, " "), 6))</f>
        <v>ICMP</v>
      </c>
      <c r="J50" s="39" t="str">
        <f t="shared" si="2"/>
        <v>echo request</v>
      </c>
      <c r="K50" s="39" t="str">
        <f t="shared" si="5"/>
        <v>id 2</v>
      </c>
      <c r="L50" s="39" t="str">
        <f t="shared" si="3"/>
        <v>seq 1</v>
      </c>
      <c r="M50" s="39" t="str">
        <f t="shared" si="4"/>
        <v>length 64</v>
      </c>
    </row>
    <row r="51" spans="1:13" x14ac:dyDescent="0.45">
      <c r="A51" s="39" t="s">
        <v>1025</v>
      </c>
      <c r="B51" s="39" t="str">
        <f t="shared" si="7"/>
        <v>返り</v>
      </c>
      <c r="C51" s="74" t="s">
        <v>1372</v>
      </c>
      <c r="D51" s="39" t="str" cm="1">
        <f t="array" ref="D51">TRIM(INDEX(_xlfn.TEXTSPLIT(C51, " "), 1))</f>
        <v>21:28:49.503963</v>
      </c>
      <c r="E51" s="39" t="str" cm="1">
        <f t="array" ref="E51">TRIM(INDEX(_xlfn.TEXTSPLIT(C51, " "), 2))</f>
        <v>IP</v>
      </c>
      <c r="F51" s="39" t="str" cm="1">
        <f t="array" ref="F51">TRIM(INDEX(_xlfn.TEXTSPLIT(C51, " "), 3))</f>
        <v>8.8.8.8</v>
      </c>
      <c r="G51" s="39" t="str" cm="1">
        <f t="array" ref="G51">TRIM(INDEX(_xlfn.TEXTSPLIT(C51, " "), 4))</f>
        <v>&gt;</v>
      </c>
      <c r="H51" s="39" t="str" cm="1">
        <f t="array" ref="H51">_xlfn.LET(
    _xlpm.v, TRIM(INDEX(_xlfn.TEXTSPLIT(C51, " "), 5)),
    IF(RIGHT(_xlpm.v,1)=":", LEFT(_xlpm.v, LEN(_xlpm.v)-1), _xlpm.v)
)</f>
        <v>10.0.2.15</v>
      </c>
      <c r="I51" s="39" t="str" cm="1">
        <f t="array" ref="I51">TRIM(INDEX(_xlfn.TEXTSPLIT(C51, " "), 6))</f>
        <v>ICMP</v>
      </c>
      <c r="J51" s="39" t="str">
        <f t="shared" si="2"/>
        <v>echo reply</v>
      </c>
      <c r="K51" s="39" t="str">
        <f t="shared" si="5"/>
        <v>id 2</v>
      </c>
      <c r="L51" s="39" t="str">
        <f t="shared" si="3"/>
        <v>seq 1</v>
      </c>
      <c r="M51" s="39" t="str">
        <f t="shared" si="4"/>
        <v>length 64</v>
      </c>
    </row>
    <row r="52" spans="1:13" x14ac:dyDescent="0.45">
      <c r="A52" s="39" t="s">
        <v>1027</v>
      </c>
      <c r="B52" s="39" t="str">
        <f t="shared" si="7"/>
        <v>行き</v>
      </c>
      <c r="C52" s="74" t="s">
        <v>1384</v>
      </c>
      <c r="D52" s="39" t="str" cm="1">
        <f t="array" ref="D52">TRIM(INDEX(_xlfn.TEXTSPLIT(C52, " "), 1))</f>
        <v>21:30:03.918258</v>
      </c>
      <c r="E52" s="39" t="str" cm="1">
        <f t="array" ref="E52">TRIM(INDEX(_xlfn.TEXTSPLIT(C52, " "), 2))</f>
        <v>IP</v>
      </c>
      <c r="F52" s="39" t="str" cm="1">
        <f t="array" ref="F52">TRIM(INDEX(_xlfn.TEXTSPLIT(C52, " "), 3))</f>
        <v>192.168.110.10</v>
      </c>
      <c r="G52" s="39" t="str" cm="1">
        <f t="array" ref="G52">TRIM(INDEX(_xlfn.TEXTSPLIT(C52, " "), 4))</f>
        <v>&gt;</v>
      </c>
      <c r="H52" s="39" t="str" cm="1">
        <f t="array" ref="H52">_xlfn.LET(
    _xlpm.v, TRIM(INDEX(_xlfn.TEXTSPLIT(C52, " "), 5)),
    IF(RIGHT(_xlpm.v,1)=":", LEFT(_xlpm.v, LEN(_xlpm.v)-1), _xlpm.v)
)</f>
        <v>8.8.8.8</v>
      </c>
      <c r="I52" s="39" t="str" cm="1">
        <f t="array" ref="I52">TRIM(INDEX(_xlfn.TEXTSPLIT(C52, " "), 6))</f>
        <v>ICMP</v>
      </c>
      <c r="J52" s="39" t="str">
        <f t="shared" si="2"/>
        <v>echo request</v>
      </c>
      <c r="K52" s="39" t="str">
        <f t="shared" si="5"/>
        <v>id 1</v>
      </c>
      <c r="L52" s="39" t="str">
        <f t="shared" si="3"/>
        <v>seq 1</v>
      </c>
      <c r="M52" s="39" t="str">
        <f t="shared" si="4"/>
        <v>length 64</v>
      </c>
    </row>
    <row r="53" spans="1:13" x14ac:dyDescent="0.45">
      <c r="A53" s="39" t="s">
        <v>1026</v>
      </c>
      <c r="B53" s="39" t="str">
        <f t="shared" si="7"/>
        <v>返り</v>
      </c>
      <c r="C53" s="74" t="s">
        <v>1385</v>
      </c>
      <c r="D53" s="39" t="str" cm="1">
        <f t="array" ref="D53">TRIM(INDEX(_xlfn.TEXTSPLIT(C53, " "), 1))</f>
        <v>21:30:03.944311</v>
      </c>
      <c r="E53" s="39" t="str" cm="1">
        <f t="array" ref="E53">TRIM(INDEX(_xlfn.TEXTSPLIT(C53, " "), 2))</f>
        <v>IP</v>
      </c>
      <c r="F53" s="39" t="str" cm="1">
        <f t="array" ref="F53">TRIM(INDEX(_xlfn.TEXTSPLIT(C53, " "), 3))</f>
        <v>8.8.8.8</v>
      </c>
      <c r="G53" s="39" t="str" cm="1">
        <f t="array" ref="G53">TRIM(INDEX(_xlfn.TEXTSPLIT(C53, " "), 4))</f>
        <v>&gt;</v>
      </c>
      <c r="H53" s="39" t="str" cm="1">
        <f t="array" ref="H53">_xlfn.LET(
    _xlpm.v, TRIM(INDEX(_xlfn.TEXTSPLIT(C53, " "), 5)),
    IF(RIGHT(_xlpm.v,1)=":", LEFT(_xlpm.v, LEN(_xlpm.v)-1), _xlpm.v)
)</f>
        <v>192.168.110.10</v>
      </c>
      <c r="I53" s="39" t="str" cm="1">
        <f t="array" ref="I53">TRIM(INDEX(_xlfn.TEXTSPLIT(C53, " "), 6))</f>
        <v>ICMP</v>
      </c>
      <c r="J53" s="39" t="str">
        <f t="shared" si="2"/>
        <v>echo reply</v>
      </c>
      <c r="K53" s="39" t="str">
        <f t="shared" si="5"/>
        <v>id 1</v>
      </c>
      <c r="L53" s="39" t="str">
        <f t="shared" si="3"/>
        <v>seq 1</v>
      </c>
      <c r="M53" s="39" t="str">
        <f t="shared" si="4"/>
        <v>length 64</v>
      </c>
    </row>
    <row r="54" spans="1:13" x14ac:dyDescent="0.45">
      <c r="A54" s="39" t="s">
        <v>1028</v>
      </c>
      <c r="B54" s="39" t="str">
        <f t="shared" si="7"/>
        <v>行き</v>
      </c>
      <c r="C54" s="74" t="s">
        <v>1397</v>
      </c>
      <c r="D54" s="39" t="str" cm="1">
        <f t="array" ref="D54">TRIM(INDEX(_xlfn.TEXTSPLIT(C54, " "), 1))</f>
        <v>21:30:28.334445</v>
      </c>
      <c r="E54" s="39" t="str" cm="1">
        <f t="array" ref="E54">TRIM(INDEX(_xlfn.TEXTSPLIT(C54, " "), 2))</f>
        <v>IP</v>
      </c>
      <c r="F54" s="39" t="str" cm="1">
        <f t="array" ref="F54">TRIM(INDEX(_xlfn.TEXTSPLIT(C54, " "), 3))</f>
        <v>10.0.2.15</v>
      </c>
      <c r="G54" s="39" t="str" cm="1">
        <f t="array" ref="G54">TRIM(INDEX(_xlfn.TEXTSPLIT(C54, " "), 4))</f>
        <v>&gt;</v>
      </c>
      <c r="H54" s="39" t="str" cm="1">
        <f t="array" ref="H54">_xlfn.LET(
    _xlpm.v, TRIM(INDEX(_xlfn.TEXTSPLIT(C54, " "), 5)),
    IF(RIGHT(_xlpm.v,1)=":", LEFT(_xlpm.v, LEN(_xlpm.v)-1), _xlpm.v)
)</f>
        <v>8.8.8.8</v>
      </c>
      <c r="I54" s="39" t="str" cm="1">
        <f t="array" ref="I54">TRIM(INDEX(_xlfn.TEXTSPLIT(C54, " "), 6))</f>
        <v>ICMP</v>
      </c>
      <c r="J54" s="39" t="str">
        <f t="shared" si="2"/>
        <v>echo request</v>
      </c>
      <c r="K54" s="39" t="str">
        <f t="shared" si="5"/>
        <v>id 2</v>
      </c>
      <c r="L54" s="39" t="str">
        <f t="shared" si="3"/>
        <v>seq 1</v>
      </c>
      <c r="M54" s="39" t="str">
        <f t="shared" si="4"/>
        <v>length 64</v>
      </c>
    </row>
    <row r="55" spans="1:13" x14ac:dyDescent="0.45">
      <c r="A55" s="39" t="s">
        <v>1029</v>
      </c>
      <c r="B55" s="39" t="str">
        <f t="shared" si="7"/>
        <v>返り</v>
      </c>
      <c r="C55" s="74" t="s">
        <v>1398</v>
      </c>
      <c r="D55" s="39" t="str" cm="1">
        <f t="array" ref="D55">TRIM(INDEX(_xlfn.TEXTSPLIT(C55, " "), 1))</f>
        <v>21:30:28.358696</v>
      </c>
      <c r="E55" s="39" t="str" cm="1">
        <f t="array" ref="E55">TRIM(INDEX(_xlfn.TEXTSPLIT(C55, " "), 2))</f>
        <v>IP</v>
      </c>
      <c r="F55" s="39" t="str" cm="1">
        <f t="array" ref="F55">TRIM(INDEX(_xlfn.TEXTSPLIT(C55, " "), 3))</f>
        <v>8.8.8.8</v>
      </c>
      <c r="G55" s="39" t="str" cm="1">
        <f t="array" ref="G55">TRIM(INDEX(_xlfn.TEXTSPLIT(C55, " "), 4))</f>
        <v>&gt;</v>
      </c>
      <c r="H55" s="39" t="str" cm="1">
        <f t="array" ref="H55">_xlfn.LET(
    _xlpm.v, TRIM(INDEX(_xlfn.TEXTSPLIT(C55, " "), 5)),
    IF(RIGHT(_xlpm.v,1)=":", LEFT(_xlpm.v, LEN(_xlpm.v)-1), _xlpm.v)
)</f>
        <v>10.0.2.15</v>
      </c>
      <c r="I55" s="39" t="str" cm="1">
        <f t="array" ref="I55">TRIM(INDEX(_xlfn.TEXTSPLIT(C55, " "), 6))</f>
        <v>ICMP</v>
      </c>
      <c r="J55" s="39" t="str">
        <f t="shared" si="2"/>
        <v>echo reply</v>
      </c>
      <c r="K55" s="39" t="str">
        <f t="shared" si="5"/>
        <v>id 2</v>
      </c>
      <c r="L55" s="39" t="str">
        <f t="shared" si="3"/>
        <v>seq 1</v>
      </c>
      <c r="M55" s="39" t="str">
        <f t="shared" si="4"/>
        <v>length 64</v>
      </c>
    </row>
    <row r="56" spans="1:13" x14ac:dyDescent="0.45">
      <c r="A56" s="39" t="s">
        <v>993</v>
      </c>
      <c r="B56" s="39" t="str">
        <f t="shared" si="7"/>
        <v>行き</v>
      </c>
      <c r="C56" s="74" t="s">
        <v>1412</v>
      </c>
      <c r="D56" s="39" t="str" cm="1">
        <f t="array" ref="D56">TRIM(INDEX(_xlfn.TEXTSPLIT(C56, " "), 1))</f>
        <v>21:31:31.972530</v>
      </c>
      <c r="E56" s="39" t="str" cm="1">
        <f t="array" ref="E56">TRIM(INDEX(_xlfn.TEXTSPLIT(C56, " "), 2))</f>
        <v>IP</v>
      </c>
      <c r="F56" s="39" t="str" cm="1">
        <f t="array" ref="F56">TRIM(INDEX(_xlfn.TEXTSPLIT(C56, " "), 3))</f>
        <v>192.168.120.7</v>
      </c>
      <c r="G56" s="39" t="str" cm="1">
        <f t="array" ref="G56">TRIM(INDEX(_xlfn.TEXTSPLIT(C56, " "), 4))</f>
        <v>&gt;</v>
      </c>
      <c r="H56" s="39" t="str" cm="1">
        <f t="array" ref="H56">_xlfn.LET(
    _xlpm.v, TRIM(INDEX(_xlfn.TEXTSPLIT(C56, " "), 5)),
    IF(RIGHT(_xlpm.v,1)=":", LEFT(_xlpm.v, LEN(_xlpm.v)-1), _xlpm.v)
)</f>
        <v>8.8.8.8</v>
      </c>
      <c r="I56" s="39" t="str" cm="1">
        <f t="array" ref="I56">TRIM(INDEX(_xlfn.TEXTSPLIT(C56, " "), 6))</f>
        <v>ICMP</v>
      </c>
      <c r="J56" s="39" t="str">
        <f t="shared" si="2"/>
        <v>echo request</v>
      </c>
      <c r="K56" s="39" t="str">
        <f t="shared" si="5"/>
        <v>id 1</v>
      </c>
      <c r="L56" s="39" t="str">
        <f t="shared" si="3"/>
        <v>seq 1</v>
      </c>
      <c r="M56" s="39" t="str">
        <f t="shared" si="4"/>
        <v>length 64</v>
      </c>
    </row>
    <row r="57" spans="1:13" x14ac:dyDescent="0.45">
      <c r="A57" s="39" t="s">
        <v>1030</v>
      </c>
      <c r="B57" s="39" t="str">
        <f t="shared" si="7"/>
        <v>返り</v>
      </c>
      <c r="C57" s="74" t="s">
        <v>1413</v>
      </c>
      <c r="D57" s="39" t="str" cm="1">
        <f t="array" ref="D57">TRIM(INDEX(_xlfn.TEXTSPLIT(C57, " "), 1))</f>
        <v>21:31:32.003760</v>
      </c>
      <c r="E57" s="39" t="str" cm="1">
        <f t="array" ref="E57">TRIM(INDEX(_xlfn.TEXTSPLIT(C57, " "), 2))</f>
        <v>IP</v>
      </c>
      <c r="F57" s="39" t="str" cm="1">
        <f t="array" ref="F57">TRIM(INDEX(_xlfn.TEXTSPLIT(C57, " "), 3))</f>
        <v>8.8.8.8</v>
      </c>
      <c r="G57" s="39" t="str" cm="1">
        <f t="array" ref="G57">TRIM(INDEX(_xlfn.TEXTSPLIT(C57, " "), 4))</f>
        <v>&gt;</v>
      </c>
      <c r="H57" s="39" t="str" cm="1">
        <f t="array" ref="H57">_xlfn.LET(
    _xlpm.v, TRIM(INDEX(_xlfn.TEXTSPLIT(C57, " "), 5)),
    IF(RIGHT(_xlpm.v,1)=":", LEFT(_xlpm.v, LEN(_xlpm.v)-1), _xlpm.v)
)</f>
        <v>192.168.120.7</v>
      </c>
      <c r="I57" s="39" t="str" cm="1">
        <f t="array" ref="I57">TRIM(INDEX(_xlfn.TEXTSPLIT(C57, " "), 6))</f>
        <v>ICMP</v>
      </c>
      <c r="J57" s="39" t="str">
        <f t="shared" si="2"/>
        <v>echo reply</v>
      </c>
      <c r="K57" s="39" t="str">
        <f t="shared" si="5"/>
        <v>id 1</v>
      </c>
      <c r="L57" s="39" t="str">
        <f t="shared" si="3"/>
        <v>seq 1</v>
      </c>
      <c r="M57" s="39" t="str">
        <f t="shared" si="4"/>
        <v>length 64</v>
      </c>
    </row>
    <row r="58" spans="1:13" x14ac:dyDescent="0.45">
      <c r="A58" s="39" t="s">
        <v>1031</v>
      </c>
      <c r="B58" s="39" t="str">
        <f t="shared" si="7"/>
        <v>行き</v>
      </c>
      <c r="C58" s="74" t="s">
        <v>1425</v>
      </c>
      <c r="D58" s="39" t="str" cm="1">
        <f t="array" ref="D58">TRIM(INDEX(_xlfn.TEXTSPLIT(C58, " "), 1))</f>
        <v>21:32:01.696368</v>
      </c>
      <c r="E58" s="39" t="str" cm="1">
        <f t="array" ref="E58">TRIM(INDEX(_xlfn.TEXTSPLIT(C58, " "), 2))</f>
        <v>IP</v>
      </c>
      <c r="F58" s="39" t="str" cm="1">
        <f t="array" ref="F58">TRIM(INDEX(_xlfn.TEXTSPLIT(C58, " "), 3))</f>
        <v>10.0.2.15</v>
      </c>
      <c r="G58" s="39" t="str" cm="1">
        <f t="array" ref="G58">TRIM(INDEX(_xlfn.TEXTSPLIT(C58, " "), 4))</f>
        <v>&gt;</v>
      </c>
      <c r="H58" s="39" t="str" cm="1">
        <f t="array" ref="H58">_xlfn.LET(
    _xlpm.v, TRIM(INDEX(_xlfn.TEXTSPLIT(C58, " "), 5)),
    IF(RIGHT(_xlpm.v,1)=":", LEFT(_xlpm.v, LEN(_xlpm.v)-1), _xlpm.v)
)</f>
        <v>8.8.8.8</v>
      </c>
      <c r="I58" s="39" t="str" cm="1">
        <f t="array" ref="I58">TRIM(INDEX(_xlfn.TEXTSPLIT(C58, " "), 6))</f>
        <v>ICMP</v>
      </c>
      <c r="J58" s="39" t="str">
        <f t="shared" si="2"/>
        <v>echo request</v>
      </c>
      <c r="K58" s="39" t="str">
        <f t="shared" si="5"/>
        <v>id 2</v>
      </c>
      <c r="L58" s="39" t="str">
        <f t="shared" si="3"/>
        <v>seq 1</v>
      </c>
      <c r="M58" s="39" t="str">
        <f t="shared" si="4"/>
        <v>length 64</v>
      </c>
    </row>
    <row r="59" spans="1:13" x14ac:dyDescent="0.45">
      <c r="A59" s="39" t="s">
        <v>1032</v>
      </c>
      <c r="B59" s="39" t="str">
        <f t="shared" si="7"/>
        <v>返り</v>
      </c>
      <c r="C59" s="74" t="s">
        <v>1426</v>
      </c>
      <c r="D59" s="39" t="str" cm="1">
        <f t="array" ref="D59">TRIM(INDEX(_xlfn.TEXTSPLIT(C59, " "), 1))</f>
        <v>21:32:01.723405</v>
      </c>
      <c r="E59" s="39" t="str" cm="1">
        <f t="array" ref="E59">TRIM(INDEX(_xlfn.TEXTSPLIT(C59, " "), 2))</f>
        <v>IP</v>
      </c>
      <c r="F59" s="39" t="str" cm="1">
        <f t="array" ref="F59">TRIM(INDEX(_xlfn.TEXTSPLIT(C59, " "), 3))</f>
        <v>8.8.8.8</v>
      </c>
      <c r="G59" s="39" t="str" cm="1">
        <f t="array" ref="G59">TRIM(INDEX(_xlfn.TEXTSPLIT(C59, " "), 4))</f>
        <v>&gt;</v>
      </c>
      <c r="H59" s="39" t="str" cm="1">
        <f t="array" ref="H59">_xlfn.LET(
    _xlpm.v, TRIM(INDEX(_xlfn.TEXTSPLIT(C59, " "), 5)),
    IF(RIGHT(_xlpm.v,1)=":", LEFT(_xlpm.v, LEN(_xlpm.v)-1), _xlpm.v)
)</f>
        <v>10.0.2.15</v>
      </c>
      <c r="I59" s="39" t="str" cm="1">
        <f t="array" ref="I59">TRIM(INDEX(_xlfn.TEXTSPLIT(C59, " "), 6))</f>
        <v>ICMP</v>
      </c>
      <c r="J59" s="39" t="str">
        <f t="shared" si="2"/>
        <v>echo reply</v>
      </c>
      <c r="K59" s="39" t="str">
        <f t="shared" si="5"/>
        <v>id 2</v>
      </c>
      <c r="L59" s="39" t="str">
        <f t="shared" si="3"/>
        <v>seq 1</v>
      </c>
      <c r="M59" s="39" t="str">
        <f t="shared" si="4"/>
        <v>length 64</v>
      </c>
    </row>
    <row r="60" spans="1:13" x14ac:dyDescent="0.45">
      <c r="A60" s="4" t="s">
        <v>48</v>
      </c>
    </row>
    <row r="62" spans="1:13" x14ac:dyDescent="0.45">
      <c r="A62" s="12" t="s">
        <v>1033</v>
      </c>
    </row>
    <row r="63" spans="1:13" x14ac:dyDescent="0.45">
      <c r="A63" s="12" t="s">
        <v>1035</v>
      </c>
      <c r="G63" s="12" t="s">
        <v>1124</v>
      </c>
    </row>
    <row r="64" spans="1:13" x14ac:dyDescent="0.45">
      <c r="A64" s="4" t="s">
        <v>1054</v>
      </c>
      <c r="G64" s="4" t="s">
        <v>1141</v>
      </c>
    </row>
    <row r="65" spans="1:7" x14ac:dyDescent="0.45">
      <c r="A65" s="4" t="s">
        <v>1045</v>
      </c>
      <c r="G65" s="4" t="s">
        <v>1125</v>
      </c>
    </row>
    <row r="66" spans="1:7" x14ac:dyDescent="0.45">
      <c r="A66" s="4" t="s">
        <v>35</v>
      </c>
      <c r="G66" s="4" t="s">
        <v>35</v>
      </c>
    </row>
    <row r="67" spans="1:7" x14ac:dyDescent="0.45">
      <c r="A67" s="4" t="s">
        <v>36</v>
      </c>
      <c r="G67" s="4" t="s">
        <v>36</v>
      </c>
    </row>
    <row r="68" spans="1:7" x14ac:dyDescent="0.45">
      <c r="A68" s="4" t="s">
        <v>58</v>
      </c>
      <c r="G68" s="4" t="s">
        <v>32</v>
      </c>
    </row>
    <row r="69" spans="1:7" x14ac:dyDescent="0.45">
      <c r="A69" s="23" t="s">
        <v>1046</v>
      </c>
      <c r="G69" s="23" t="s">
        <v>1126</v>
      </c>
    </row>
    <row r="70" spans="1:7" x14ac:dyDescent="0.45">
      <c r="A70" s="23" t="s">
        <v>1047</v>
      </c>
      <c r="G70" s="23" t="s">
        <v>1127</v>
      </c>
    </row>
    <row r="71" spans="1:7" x14ac:dyDescent="0.45">
      <c r="A71" s="4" t="s">
        <v>1048</v>
      </c>
      <c r="G71" s="4" t="s">
        <v>1128</v>
      </c>
    </row>
    <row r="72" spans="1:7" x14ac:dyDescent="0.45">
      <c r="A72" s="4" t="s">
        <v>1049</v>
      </c>
      <c r="G72" s="4" t="s">
        <v>1129</v>
      </c>
    </row>
    <row r="73" spans="1:7" x14ac:dyDescent="0.45">
      <c r="A73" s="4" t="s">
        <v>1050</v>
      </c>
      <c r="G73" s="4" t="s">
        <v>1130</v>
      </c>
    </row>
    <row r="74" spans="1:7" x14ac:dyDescent="0.45">
      <c r="A74" s="4" t="s">
        <v>1051</v>
      </c>
      <c r="G74" s="4" t="s">
        <v>1131</v>
      </c>
    </row>
    <row r="75" spans="1:7" x14ac:dyDescent="0.45">
      <c r="A75" s="4" t="s">
        <v>1052</v>
      </c>
      <c r="G75" s="4" t="s">
        <v>1132</v>
      </c>
    </row>
    <row r="77" spans="1:7" x14ac:dyDescent="0.45">
      <c r="A77" s="4" t="s">
        <v>39</v>
      </c>
      <c r="G77" s="4" t="s">
        <v>39</v>
      </c>
    </row>
    <row r="78" spans="1:7" x14ac:dyDescent="0.45">
      <c r="A78" s="4" t="s">
        <v>40</v>
      </c>
      <c r="G78" s="4" t="s">
        <v>40</v>
      </c>
    </row>
    <row r="79" spans="1:7" x14ac:dyDescent="0.45">
      <c r="A79" s="4" t="s">
        <v>38</v>
      </c>
      <c r="G79" s="4" t="s">
        <v>38</v>
      </c>
    </row>
    <row r="80" spans="1:7" x14ac:dyDescent="0.45">
      <c r="A80" s="4" t="s">
        <v>540</v>
      </c>
      <c r="G80" s="4" t="s">
        <v>552</v>
      </c>
    </row>
    <row r="82" spans="1:7" x14ac:dyDescent="0.45">
      <c r="A82" s="4" t="s">
        <v>1036</v>
      </c>
      <c r="G82" s="4" t="s">
        <v>1133</v>
      </c>
    </row>
    <row r="83" spans="1:7" x14ac:dyDescent="0.45">
      <c r="A83" s="4" t="s">
        <v>1037</v>
      </c>
      <c r="G83" s="4" t="s">
        <v>1134</v>
      </c>
    </row>
    <row r="84" spans="1:7" x14ac:dyDescent="0.45">
      <c r="A84" s="4" t="s">
        <v>1038</v>
      </c>
      <c r="G84" s="4" t="s">
        <v>1135</v>
      </c>
    </row>
    <row r="85" spans="1:7" x14ac:dyDescent="0.45">
      <c r="A85" s="4" t="s">
        <v>1039</v>
      </c>
      <c r="G85" s="4" t="s">
        <v>1136</v>
      </c>
    </row>
    <row r="86" spans="1:7" x14ac:dyDescent="0.45">
      <c r="A86" s="4" t="s">
        <v>1040</v>
      </c>
      <c r="G86" s="4" t="s">
        <v>1137</v>
      </c>
    </row>
    <row r="88" spans="1:7" x14ac:dyDescent="0.45">
      <c r="A88" s="4" t="s">
        <v>1041</v>
      </c>
      <c r="G88" s="4" t="s">
        <v>1138</v>
      </c>
    </row>
    <row r="89" spans="1:7" x14ac:dyDescent="0.45">
      <c r="A89" s="4" t="s">
        <v>1042</v>
      </c>
      <c r="G89" s="4" t="s">
        <v>74</v>
      </c>
    </row>
    <row r="90" spans="1:7" x14ac:dyDescent="0.45">
      <c r="A90" s="4" t="s">
        <v>1043</v>
      </c>
      <c r="G90" s="4" t="s">
        <v>1139</v>
      </c>
    </row>
    <row r="92" spans="1:7" x14ac:dyDescent="0.45">
      <c r="A92" s="12" t="s">
        <v>1053</v>
      </c>
      <c r="G92" s="12" t="s">
        <v>1140</v>
      </c>
    </row>
    <row r="93" spans="1:7" x14ac:dyDescent="0.45">
      <c r="A93" s="4" t="s">
        <v>1072</v>
      </c>
      <c r="G93" s="4" t="s">
        <v>1142</v>
      </c>
    </row>
    <row r="94" spans="1:7" x14ac:dyDescent="0.45">
      <c r="A94" s="4" t="s">
        <v>1055</v>
      </c>
      <c r="G94" s="4" t="s">
        <v>1143</v>
      </c>
    </row>
    <row r="95" spans="1:7" x14ac:dyDescent="0.45">
      <c r="A95" s="4" t="s">
        <v>35</v>
      </c>
      <c r="G95" s="4" t="s">
        <v>35</v>
      </c>
    </row>
    <row r="96" spans="1:7" x14ac:dyDescent="0.45">
      <c r="A96" s="4" t="s">
        <v>36</v>
      </c>
      <c r="G96" s="4" t="s">
        <v>36</v>
      </c>
    </row>
    <row r="97" spans="1:7" x14ac:dyDescent="0.45">
      <c r="A97" s="4" t="s">
        <v>32</v>
      </c>
      <c r="G97" s="4" t="s">
        <v>32</v>
      </c>
    </row>
    <row r="98" spans="1:7" x14ac:dyDescent="0.45">
      <c r="A98" s="23" t="s">
        <v>1056</v>
      </c>
      <c r="G98" s="23" t="s">
        <v>1144</v>
      </c>
    </row>
    <row r="99" spans="1:7" x14ac:dyDescent="0.45">
      <c r="A99" s="23" t="s">
        <v>1057</v>
      </c>
      <c r="G99" s="23" t="s">
        <v>1145</v>
      </c>
    </row>
    <row r="100" spans="1:7" x14ac:dyDescent="0.45">
      <c r="A100" s="4" t="s">
        <v>1058</v>
      </c>
      <c r="G100" s="4" t="s">
        <v>1146</v>
      </c>
    </row>
    <row r="101" spans="1:7" x14ac:dyDescent="0.45">
      <c r="A101" s="4" t="s">
        <v>1059</v>
      </c>
      <c r="G101" s="4" t="s">
        <v>1147</v>
      </c>
    </row>
    <row r="102" spans="1:7" x14ac:dyDescent="0.45">
      <c r="A102" s="4" t="s">
        <v>1060</v>
      </c>
      <c r="G102" s="4" t="s">
        <v>1148</v>
      </c>
    </row>
    <row r="103" spans="1:7" x14ac:dyDescent="0.45">
      <c r="A103" s="4" t="s">
        <v>1061</v>
      </c>
      <c r="G103" s="4" t="s">
        <v>1149</v>
      </c>
    </row>
    <row r="104" spans="1:7" x14ac:dyDescent="0.45">
      <c r="A104" s="4" t="s">
        <v>1062</v>
      </c>
      <c r="G104" s="4" t="s">
        <v>1150</v>
      </c>
    </row>
    <row r="106" spans="1:7" x14ac:dyDescent="0.45">
      <c r="A106" s="4" t="s">
        <v>39</v>
      </c>
      <c r="G106" s="4" t="s">
        <v>39</v>
      </c>
    </row>
    <row r="107" spans="1:7" x14ac:dyDescent="0.45">
      <c r="A107" s="4" t="s">
        <v>40</v>
      </c>
      <c r="G107" s="4" t="s">
        <v>40</v>
      </c>
    </row>
    <row r="108" spans="1:7" x14ac:dyDescent="0.45">
      <c r="A108" s="4" t="s">
        <v>38</v>
      </c>
      <c r="G108" s="4" t="s">
        <v>38</v>
      </c>
    </row>
    <row r="109" spans="1:7" x14ac:dyDescent="0.45">
      <c r="A109" s="4" t="s">
        <v>296</v>
      </c>
      <c r="G109" s="4" t="s">
        <v>556</v>
      </c>
    </row>
    <row r="111" spans="1:7" x14ac:dyDescent="0.45">
      <c r="A111" s="4" t="s">
        <v>1063</v>
      </c>
      <c r="G111" s="4" t="s">
        <v>1151</v>
      </c>
    </row>
    <row r="112" spans="1:7" x14ac:dyDescent="0.45">
      <c r="A112" s="4" t="s">
        <v>1064</v>
      </c>
      <c r="G112" s="4" t="s">
        <v>1152</v>
      </c>
    </row>
    <row r="113" spans="1:7" x14ac:dyDescent="0.45">
      <c r="A113" s="4" t="s">
        <v>1065</v>
      </c>
      <c r="G113" s="4" t="s">
        <v>1153</v>
      </c>
    </row>
    <row r="114" spans="1:7" x14ac:dyDescent="0.45">
      <c r="A114" s="4" t="s">
        <v>1066</v>
      </c>
      <c r="G114" s="4" t="s">
        <v>1154</v>
      </c>
    </row>
    <row r="115" spans="1:7" x14ac:dyDescent="0.45">
      <c r="A115" s="4" t="s">
        <v>1067</v>
      </c>
      <c r="G115" s="4" t="s">
        <v>1155</v>
      </c>
    </row>
    <row r="117" spans="1:7" x14ac:dyDescent="0.45">
      <c r="A117" s="4" t="s">
        <v>1068</v>
      </c>
      <c r="G117" s="4" t="s">
        <v>1156</v>
      </c>
    </row>
    <row r="118" spans="1:7" x14ac:dyDescent="0.45">
      <c r="A118" s="4" t="s">
        <v>1069</v>
      </c>
      <c r="G118" s="4" t="s">
        <v>1157</v>
      </c>
    </row>
    <row r="119" spans="1:7" x14ac:dyDescent="0.45">
      <c r="A119" s="4" t="s">
        <v>1070</v>
      </c>
      <c r="G119" s="4" t="s">
        <v>1158</v>
      </c>
    </row>
    <row r="120" spans="1:7" x14ac:dyDescent="0.45">
      <c r="A120" s="76"/>
    </row>
    <row r="121" spans="1:7" x14ac:dyDescent="0.45">
      <c r="A121" s="12" t="s">
        <v>1071</v>
      </c>
      <c r="G121" s="12" t="s">
        <v>1159</v>
      </c>
    </row>
    <row r="122" spans="1:7" x14ac:dyDescent="0.45">
      <c r="A122" s="76" t="s">
        <v>1089</v>
      </c>
      <c r="G122" s="4" t="s">
        <v>1160</v>
      </c>
    </row>
    <row r="123" spans="1:7" x14ac:dyDescent="0.45">
      <c r="A123" s="76" t="s">
        <v>1073</v>
      </c>
      <c r="G123" s="4" t="s">
        <v>1161</v>
      </c>
    </row>
    <row r="124" spans="1:7" x14ac:dyDescent="0.45">
      <c r="A124" s="76" t="s">
        <v>35</v>
      </c>
      <c r="G124" s="4" t="s">
        <v>35</v>
      </c>
    </row>
    <row r="125" spans="1:7" x14ac:dyDescent="0.45">
      <c r="A125" s="76" t="s">
        <v>36</v>
      </c>
      <c r="G125" s="4" t="s">
        <v>36</v>
      </c>
    </row>
    <row r="126" spans="1:7" x14ac:dyDescent="0.45">
      <c r="A126" s="76" t="s">
        <v>32</v>
      </c>
      <c r="G126" s="4" t="s">
        <v>32</v>
      </c>
    </row>
    <row r="127" spans="1:7" x14ac:dyDescent="0.45">
      <c r="A127" s="23" t="s">
        <v>1074</v>
      </c>
      <c r="G127" s="23" t="s">
        <v>1162</v>
      </c>
    </row>
    <row r="128" spans="1:7" x14ac:dyDescent="0.45">
      <c r="A128" s="23" t="s">
        <v>1075</v>
      </c>
      <c r="G128" s="23" t="s">
        <v>1163</v>
      </c>
    </row>
    <row r="129" spans="1:7" x14ac:dyDescent="0.45">
      <c r="A129" s="76" t="s">
        <v>1076</v>
      </c>
      <c r="G129" s="4" t="s">
        <v>1164</v>
      </c>
    </row>
    <row r="130" spans="1:7" x14ac:dyDescent="0.45">
      <c r="A130" s="76" t="s">
        <v>1077</v>
      </c>
      <c r="G130" s="4" t="s">
        <v>1165</v>
      </c>
    </row>
    <row r="131" spans="1:7" x14ac:dyDescent="0.45">
      <c r="A131" s="76" t="s">
        <v>1078</v>
      </c>
      <c r="G131" s="4" t="s">
        <v>1166</v>
      </c>
    </row>
    <row r="132" spans="1:7" x14ac:dyDescent="0.45">
      <c r="A132" s="76" t="s">
        <v>1079</v>
      </c>
      <c r="G132" s="4" t="s">
        <v>1167</v>
      </c>
    </row>
    <row r="133" spans="1:7" x14ac:dyDescent="0.45">
      <c r="A133" s="76" t="s">
        <v>1080</v>
      </c>
      <c r="G133" s="4" t="s">
        <v>1168</v>
      </c>
    </row>
    <row r="134" spans="1:7" x14ac:dyDescent="0.45">
      <c r="A134" s="76"/>
    </row>
    <row r="135" spans="1:7" x14ac:dyDescent="0.45">
      <c r="A135" s="76" t="s">
        <v>39</v>
      </c>
      <c r="G135" s="4" t="s">
        <v>39</v>
      </c>
    </row>
    <row r="136" spans="1:7" x14ac:dyDescent="0.45">
      <c r="A136" s="76" t="s">
        <v>40</v>
      </c>
      <c r="G136" s="4" t="s">
        <v>40</v>
      </c>
    </row>
    <row r="137" spans="1:7" x14ac:dyDescent="0.45">
      <c r="A137" s="76" t="s">
        <v>38</v>
      </c>
      <c r="G137" s="4" t="s">
        <v>38</v>
      </c>
    </row>
    <row r="138" spans="1:7" x14ac:dyDescent="0.45">
      <c r="A138" s="76" t="s">
        <v>273</v>
      </c>
      <c r="G138" s="4" t="s">
        <v>560</v>
      </c>
    </row>
    <row r="139" spans="1:7" x14ac:dyDescent="0.45">
      <c r="A139" s="76"/>
    </row>
    <row r="140" spans="1:7" x14ac:dyDescent="0.45">
      <c r="A140" s="76" t="s">
        <v>1081</v>
      </c>
      <c r="G140" s="4" t="s">
        <v>1169</v>
      </c>
    </row>
    <row r="141" spans="1:7" x14ac:dyDescent="0.45">
      <c r="A141" s="76" t="s">
        <v>1082</v>
      </c>
      <c r="G141" s="4" t="s">
        <v>1170</v>
      </c>
    </row>
    <row r="142" spans="1:7" x14ac:dyDescent="0.45">
      <c r="A142" s="76" t="s">
        <v>1083</v>
      </c>
      <c r="G142" s="4" t="s">
        <v>1171</v>
      </c>
    </row>
    <row r="143" spans="1:7" x14ac:dyDescent="0.45">
      <c r="A143" s="76" t="s">
        <v>1084</v>
      </c>
      <c r="G143" s="4" t="s">
        <v>1172</v>
      </c>
    </row>
    <row r="144" spans="1:7" x14ac:dyDescent="0.45">
      <c r="A144" s="76" t="s">
        <v>1085</v>
      </c>
      <c r="G144" s="4" t="s">
        <v>1173</v>
      </c>
    </row>
    <row r="145" spans="1:7" x14ac:dyDescent="0.45">
      <c r="A145" s="76"/>
    </row>
    <row r="146" spans="1:7" x14ac:dyDescent="0.45">
      <c r="A146" s="76" t="s">
        <v>1086</v>
      </c>
      <c r="G146" s="4" t="s">
        <v>1174</v>
      </c>
    </row>
    <row r="147" spans="1:7" x14ac:dyDescent="0.45">
      <c r="A147" s="76" t="s">
        <v>1042</v>
      </c>
      <c r="G147" s="4" t="s">
        <v>1175</v>
      </c>
    </row>
    <row r="148" spans="1:7" x14ac:dyDescent="0.45">
      <c r="A148" s="76" t="s">
        <v>1087</v>
      </c>
      <c r="G148" s="4" t="s">
        <v>1176</v>
      </c>
    </row>
    <row r="149" spans="1:7" x14ac:dyDescent="0.45">
      <c r="A149" s="76" t="s">
        <v>265</v>
      </c>
      <c r="G149" s="4" t="s">
        <v>265</v>
      </c>
    </row>
    <row r="150" spans="1:7" x14ac:dyDescent="0.45">
      <c r="A150" s="76"/>
    </row>
    <row r="151" spans="1:7" x14ac:dyDescent="0.45">
      <c r="A151" s="12" t="s">
        <v>1088</v>
      </c>
      <c r="G151" s="12" t="s">
        <v>1177</v>
      </c>
    </row>
    <row r="152" spans="1:7" x14ac:dyDescent="0.45">
      <c r="A152" s="76" t="s">
        <v>1107</v>
      </c>
      <c r="G152" s="4" t="s">
        <v>1178</v>
      </c>
    </row>
    <row r="153" spans="1:7" x14ac:dyDescent="0.45">
      <c r="A153" s="76" t="s">
        <v>1090</v>
      </c>
      <c r="G153" s="4" t="s">
        <v>1179</v>
      </c>
    </row>
    <row r="154" spans="1:7" x14ac:dyDescent="0.45">
      <c r="A154" s="76" t="s">
        <v>35</v>
      </c>
      <c r="G154" s="4" t="s">
        <v>35</v>
      </c>
    </row>
    <row r="155" spans="1:7" x14ac:dyDescent="0.45">
      <c r="A155" s="76" t="s">
        <v>36</v>
      </c>
      <c r="G155" s="4" t="s">
        <v>36</v>
      </c>
    </row>
    <row r="156" spans="1:7" x14ac:dyDescent="0.45">
      <c r="A156" s="76" t="s">
        <v>32</v>
      </c>
      <c r="G156" s="4" t="s">
        <v>32</v>
      </c>
    </row>
    <row r="157" spans="1:7" x14ac:dyDescent="0.45">
      <c r="A157" s="23" t="s">
        <v>1091</v>
      </c>
      <c r="G157" s="23" t="s">
        <v>1180</v>
      </c>
    </row>
    <row r="158" spans="1:7" x14ac:dyDescent="0.45">
      <c r="A158" s="23" t="s">
        <v>1092</v>
      </c>
      <c r="G158" s="23" t="s">
        <v>1181</v>
      </c>
    </row>
    <row r="159" spans="1:7" x14ac:dyDescent="0.45">
      <c r="A159" s="76" t="s">
        <v>1093</v>
      </c>
      <c r="G159" s="4" t="s">
        <v>1182</v>
      </c>
    </row>
    <row r="160" spans="1:7" x14ac:dyDescent="0.45">
      <c r="A160" s="76" t="s">
        <v>1094</v>
      </c>
      <c r="G160" s="4" t="s">
        <v>1183</v>
      </c>
    </row>
    <row r="161" spans="1:7" x14ac:dyDescent="0.45">
      <c r="A161" s="76" t="s">
        <v>1095</v>
      </c>
      <c r="G161" s="4" t="s">
        <v>1184</v>
      </c>
    </row>
    <row r="162" spans="1:7" x14ac:dyDescent="0.45">
      <c r="A162" s="76" t="s">
        <v>1096</v>
      </c>
      <c r="G162" s="4" t="s">
        <v>1185</v>
      </c>
    </row>
    <row r="163" spans="1:7" x14ac:dyDescent="0.45">
      <c r="A163" s="76" t="s">
        <v>1097</v>
      </c>
      <c r="G163" s="4" t="s">
        <v>1186</v>
      </c>
    </row>
    <row r="164" spans="1:7" x14ac:dyDescent="0.45">
      <c r="A164" s="76"/>
    </row>
    <row r="165" spans="1:7" x14ac:dyDescent="0.45">
      <c r="A165" s="76" t="s">
        <v>39</v>
      </c>
      <c r="G165" s="4" t="s">
        <v>39</v>
      </c>
    </row>
    <row r="166" spans="1:7" x14ac:dyDescent="0.45">
      <c r="A166" s="76" t="s">
        <v>40</v>
      </c>
      <c r="G166" s="4" t="s">
        <v>40</v>
      </c>
    </row>
    <row r="167" spans="1:7" x14ac:dyDescent="0.45">
      <c r="A167" s="76" t="s">
        <v>38</v>
      </c>
      <c r="G167" s="4" t="s">
        <v>38</v>
      </c>
    </row>
    <row r="168" spans="1:7" x14ac:dyDescent="0.45">
      <c r="A168" s="76" t="s">
        <v>278</v>
      </c>
      <c r="G168" s="4" t="s">
        <v>564</v>
      </c>
    </row>
    <row r="169" spans="1:7" x14ac:dyDescent="0.45">
      <c r="A169" s="76"/>
    </row>
    <row r="170" spans="1:7" x14ac:dyDescent="0.45">
      <c r="A170" s="76" t="s">
        <v>1098</v>
      </c>
      <c r="G170" s="4" t="s">
        <v>1187</v>
      </c>
    </row>
    <row r="171" spans="1:7" x14ac:dyDescent="0.45">
      <c r="A171" s="76" t="s">
        <v>1099</v>
      </c>
      <c r="G171" s="4" t="s">
        <v>1188</v>
      </c>
    </row>
    <row r="172" spans="1:7" x14ac:dyDescent="0.45">
      <c r="A172" s="76" t="s">
        <v>1100</v>
      </c>
      <c r="G172" s="4" t="s">
        <v>1189</v>
      </c>
    </row>
    <row r="173" spans="1:7" x14ac:dyDescent="0.45">
      <c r="A173" s="76" t="s">
        <v>1101</v>
      </c>
      <c r="G173" s="4" t="s">
        <v>1190</v>
      </c>
    </row>
    <row r="174" spans="1:7" x14ac:dyDescent="0.45">
      <c r="A174" s="76" t="s">
        <v>1102</v>
      </c>
      <c r="G174" s="4" t="s">
        <v>1191</v>
      </c>
    </row>
    <row r="175" spans="1:7" x14ac:dyDescent="0.45">
      <c r="A175" s="76"/>
    </row>
    <row r="176" spans="1:7" x14ac:dyDescent="0.45">
      <c r="A176" s="76" t="s">
        <v>1103</v>
      </c>
      <c r="G176" s="4" t="s">
        <v>1192</v>
      </c>
    </row>
    <row r="177" spans="1:7" x14ac:dyDescent="0.45">
      <c r="A177" s="76" t="s">
        <v>1104</v>
      </c>
      <c r="G177" s="4" t="s">
        <v>1193</v>
      </c>
    </row>
    <row r="178" spans="1:7" x14ac:dyDescent="0.45">
      <c r="A178" s="76" t="s">
        <v>1105</v>
      </c>
      <c r="G178" s="4" t="s">
        <v>1194</v>
      </c>
    </row>
    <row r="179" spans="1:7" x14ac:dyDescent="0.45">
      <c r="A179" s="76" t="s">
        <v>265</v>
      </c>
      <c r="G179" s="4" t="s">
        <v>265</v>
      </c>
    </row>
    <row r="180" spans="1:7" x14ac:dyDescent="0.45">
      <c r="A180" s="76"/>
    </row>
    <row r="181" spans="1:7" x14ac:dyDescent="0.45">
      <c r="A181" s="12" t="s">
        <v>1106</v>
      </c>
    </row>
    <row r="182" spans="1:7" x14ac:dyDescent="0.45">
      <c r="A182" s="76" t="s">
        <v>1108</v>
      </c>
    </row>
    <row r="183" spans="1:7" x14ac:dyDescent="0.45">
      <c r="A183" s="76" t="s">
        <v>1109</v>
      </c>
    </row>
    <row r="184" spans="1:7" x14ac:dyDescent="0.45">
      <c r="A184" s="76" t="s">
        <v>35</v>
      </c>
    </row>
    <row r="185" spans="1:7" x14ac:dyDescent="0.45">
      <c r="A185" s="76" t="s">
        <v>36</v>
      </c>
    </row>
    <row r="186" spans="1:7" x14ac:dyDescent="0.45">
      <c r="A186" s="76" t="s">
        <v>32</v>
      </c>
    </row>
    <row r="187" spans="1:7" x14ac:dyDescent="0.45">
      <c r="A187" s="23" t="s">
        <v>1110</v>
      </c>
    </row>
    <row r="188" spans="1:7" x14ac:dyDescent="0.45">
      <c r="A188" s="23" t="s">
        <v>1111</v>
      </c>
    </row>
    <row r="189" spans="1:7" x14ac:dyDescent="0.45">
      <c r="A189" s="76" t="s">
        <v>1112</v>
      </c>
    </row>
    <row r="190" spans="1:7" x14ac:dyDescent="0.45">
      <c r="A190" s="76" t="s">
        <v>1113</v>
      </c>
    </row>
    <row r="191" spans="1:7" x14ac:dyDescent="0.45">
      <c r="A191" s="76" t="s">
        <v>1114</v>
      </c>
    </row>
    <row r="192" spans="1:7" x14ac:dyDescent="0.45">
      <c r="A192" s="76" t="s">
        <v>1115</v>
      </c>
    </row>
    <row r="193" spans="1:1" x14ac:dyDescent="0.45">
      <c r="A193" s="76" t="s">
        <v>1116</v>
      </c>
    </row>
    <row r="194" spans="1:1" x14ac:dyDescent="0.45">
      <c r="A194" s="76"/>
    </row>
    <row r="195" spans="1:1" x14ac:dyDescent="0.45">
      <c r="A195" s="76" t="s">
        <v>39</v>
      </c>
    </row>
    <row r="196" spans="1:1" x14ac:dyDescent="0.45">
      <c r="A196" s="76" t="s">
        <v>40</v>
      </c>
    </row>
    <row r="197" spans="1:1" x14ac:dyDescent="0.45">
      <c r="A197" s="76" t="s">
        <v>38</v>
      </c>
    </row>
    <row r="198" spans="1:1" x14ac:dyDescent="0.45">
      <c r="A198" s="76"/>
    </row>
    <row r="199" spans="1:1" x14ac:dyDescent="0.45">
      <c r="A199" s="76"/>
    </row>
    <row r="200" spans="1:1" x14ac:dyDescent="0.45">
      <c r="A200" s="76" t="s">
        <v>1117</v>
      </c>
    </row>
    <row r="201" spans="1:1" x14ac:dyDescent="0.45">
      <c r="A201" s="76" t="s">
        <v>1118</v>
      </c>
    </row>
    <row r="202" spans="1:1" x14ac:dyDescent="0.45">
      <c r="A202" s="76" t="s">
        <v>1119</v>
      </c>
    </row>
    <row r="203" spans="1:1" x14ac:dyDescent="0.45">
      <c r="A203" s="76" t="s">
        <v>1120</v>
      </c>
    </row>
    <row r="204" spans="1:1" x14ac:dyDescent="0.45">
      <c r="A204" s="76" t="s">
        <v>1121</v>
      </c>
    </row>
    <row r="205" spans="1:1" x14ac:dyDescent="0.45">
      <c r="A205" s="76"/>
    </row>
    <row r="206" spans="1:1" x14ac:dyDescent="0.45">
      <c r="A206" s="76" t="s">
        <v>1122</v>
      </c>
    </row>
    <row r="207" spans="1:1" x14ac:dyDescent="0.45">
      <c r="A207" s="76" t="s">
        <v>59</v>
      </c>
    </row>
    <row r="208" spans="1:1" x14ac:dyDescent="0.45">
      <c r="A208" s="76" t="s">
        <v>1123</v>
      </c>
    </row>
    <row r="209" spans="1:9" x14ac:dyDescent="0.45">
      <c r="A209" s="76" t="s">
        <v>265</v>
      </c>
    </row>
    <row r="211" spans="1:9" x14ac:dyDescent="0.45">
      <c r="A211" s="12" t="s">
        <v>89</v>
      </c>
    </row>
    <row r="212" spans="1:9" x14ac:dyDescent="0.45">
      <c r="A212" s="12" t="s">
        <v>1195</v>
      </c>
    </row>
    <row r="213" spans="1:9" x14ac:dyDescent="0.45">
      <c r="A213" s="77" t="s">
        <v>1054</v>
      </c>
      <c r="B213" s="77"/>
      <c r="C213" s="77"/>
      <c r="D213" s="77"/>
      <c r="E213" s="77"/>
      <c r="F213" s="77" t="s">
        <v>1209</v>
      </c>
      <c r="G213" s="77"/>
      <c r="H213" s="77"/>
      <c r="I213" s="77"/>
    </row>
    <row r="214" spans="1:9" x14ac:dyDescent="0.45">
      <c r="A214" s="77" t="s">
        <v>1196</v>
      </c>
      <c r="B214" s="77"/>
      <c r="C214" s="77"/>
      <c r="D214" s="77"/>
      <c r="E214" s="77"/>
      <c r="F214" s="77" t="s">
        <v>72</v>
      </c>
      <c r="G214" s="77"/>
      <c r="H214" s="77"/>
      <c r="I214" s="77"/>
    </row>
    <row r="215" spans="1:9" x14ac:dyDescent="0.45">
      <c r="A215" s="77" t="s">
        <v>35</v>
      </c>
      <c r="B215" s="77"/>
      <c r="C215" s="77"/>
      <c r="D215" s="77"/>
      <c r="E215" s="77"/>
      <c r="F215" s="77" t="s">
        <v>1205</v>
      </c>
      <c r="G215" s="77"/>
      <c r="H215" s="77"/>
      <c r="I215" s="77"/>
    </row>
    <row r="216" spans="1:9" x14ac:dyDescent="0.45">
      <c r="A216" s="77" t="s">
        <v>36</v>
      </c>
      <c r="B216" s="77"/>
      <c r="C216" s="77"/>
      <c r="D216" s="77"/>
      <c r="E216" s="77"/>
      <c r="F216" s="77" t="s">
        <v>1206</v>
      </c>
      <c r="G216" s="77"/>
      <c r="H216" s="77"/>
      <c r="I216" s="77"/>
    </row>
    <row r="217" spans="1:9" x14ac:dyDescent="0.45">
      <c r="A217" s="77" t="s">
        <v>58</v>
      </c>
      <c r="B217" s="77"/>
      <c r="C217" s="77"/>
      <c r="D217" s="77"/>
      <c r="E217" s="77"/>
      <c r="F217" s="77" t="s">
        <v>1207</v>
      </c>
      <c r="G217" s="77"/>
      <c r="H217" s="77"/>
      <c r="I217" s="77"/>
    </row>
    <row r="218" spans="1:9" x14ac:dyDescent="0.45">
      <c r="A218" s="79" t="s">
        <v>1197</v>
      </c>
      <c r="B218" s="77"/>
      <c r="C218" s="77"/>
      <c r="D218" s="77"/>
      <c r="E218" s="77"/>
      <c r="F218" s="77"/>
      <c r="G218" s="77"/>
      <c r="H218" s="77"/>
      <c r="I218" s="77"/>
    </row>
    <row r="219" spans="1:9" x14ac:dyDescent="0.45">
      <c r="A219" s="79" t="s">
        <v>1198</v>
      </c>
      <c r="B219" s="77"/>
      <c r="C219" s="77"/>
      <c r="D219" s="77"/>
      <c r="E219" s="77"/>
      <c r="F219" s="77" t="s">
        <v>73</v>
      </c>
      <c r="G219" s="77"/>
      <c r="H219" s="77"/>
      <c r="I219" s="77"/>
    </row>
    <row r="220" spans="1:9" x14ac:dyDescent="0.45">
      <c r="A220" s="77" t="s">
        <v>1199</v>
      </c>
      <c r="B220" s="77"/>
      <c r="C220" s="77"/>
      <c r="D220" s="77"/>
      <c r="E220" s="77"/>
      <c r="F220" s="77" t="s">
        <v>1193</v>
      </c>
      <c r="G220" s="77"/>
      <c r="H220" s="77"/>
      <c r="I220" s="77"/>
    </row>
    <row r="221" spans="1:9" x14ac:dyDescent="0.45">
      <c r="A221" s="77" t="s">
        <v>1200</v>
      </c>
      <c r="B221" s="77"/>
      <c r="C221" s="77"/>
      <c r="D221" s="77"/>
      <c r="E221" s="77"/>
      <c r="F221" s="77" t="s">
        <v>1208</v>
      </c>
      <c r="G221" s="77"/>
      <c r="H221" s="77"/>
      <c r="I221" s="77"/>
    </row>
    <row r="222" spans="1:9" x14ac:dyDescent="0.45">
      <c r="A222" s="77" t="s">
        <v>1201</v>
      </c>
      <c r="B222" s="77"/>
      <c r="C222" s="77"/>
      <c r="D222" s="77"/>
      <c r="E222" s="77"/>
      <c r="F222" s="77" t="s">
        <v>296</v>
      </c>
      <c r="G222" s="77"/>
      <c r="H222" s="77"/>
      <c r="I222" s="77"/>
    </row>
    <row r="223" spans="1:9" x14ac:dyDescent="0.45">
      <c r="A223" s="77" t="s">
        <v>1202</v>
      </c>
      <c r="B223" s="77"/>
      <c r="C223" s="77"/>
      <c r="D223" s="77"/>
      <c r="E223" s="77"/>
      <c r="F223" s="77"/>
      <c r="G223" s="77"/>
      <c r="H223" s="77"/>
      <c r="I223" s="77"/>
    </row>
    <row r="224" spans="1:9" x14ac:dyDescent="0.45">
      <c r="A224" s="77" t="s">
        <v>1203</v>
      </c>
      <c r="B224" s="77"/>
      <c r="C224" s="77"/>
      <c r="D224" s="77"/>
      <c r="E224" s="77"/>
      <c r="F224" s="77"/>
      <c r="G224" s="77"/>
      <c r="H224" s="77"/>
      <c r="I224" s="77"/>
    </row>
    <row r="225" spans="1:9" x14ac:dyDescent="0.45">
      <c r="A225" s="77"/>
      <c r="B225" s="77"/>
      <c r="C225" s="77"/>
      <c r="D225" s="77"/>
      <c r="E225" s="77"/>
      <c r="F225" s="77"/>
      <c r="G225" s="77"/>
      <c r="H225" s="77"/>
      <c r="I225" s="77"/>
    </row>
    <row r="226" spans="1:9" x14ac:dyDescent="0.45">
      <c r="A226" s="77" t="s">
        <v>39</v>
      </c>
      <c r="B226" s="77"/>
      <c r="C226" s="77"/>
      <c r="D226" s="77"/>
      <c r="E226" s="77"/>
      <c r="F226" s="77"/>
      <c r="G226" s="77"/>
      <c r="H226" s="77"/>
      <c r="I226" s="77"/>
    </row>
    <row r="227" spans="1:9" x14ac:dyDescent="0.45">
      <c r="A227" s="77" t="s">
        <v>40</v>
      </c>
      <c r="B227" s="77"/>
      <c r="C227" s="77"/>
      <c r="D227" s="77"/>
      <c r="E227" s="77"/>
      <c r="F227" s="77"/>
      <c r="G227" s="77"/>
      <c r="H227" s="77"/>
      <c r="I227" s="77"/>
    </row>
    <row r="228" spans="1:9" x14ac:dyDescent="0.45">
      <c r="A228" s="77" t="s">
        <v>38</v>
      </c>
      <c r="B228" s="77"/>
      <c r="C228" s="77"/>
      <c r="D228" s="77"/>
      <c r="E228" s="77"/>
      <c r="F228" s="77"/>
      <c r="G228" s="77"/>
      <c r="H228" s="77"/>
      <c r="I228" s="77"/>
    </row>
    <row r="229" spans="1:9" x14ac:dyDescent="0.45">
      <c r="A229" s="77" t="s">
        <v>540</v>
      </c>
      <c r="B229" s="77"/>
      <c r="C229" s="77"/>
      <c r="D229" s="77"/>
      <c r="E229" s="77"/>
      <c r="F229" s="77"/>
      <c r="G229" s="77"/>
      <c r="H229" s="77"/>
      <c r="I229" s="77"/>
    </row>
    <row r="231" spans="1:9" x14ac:dyDescent="0.45">
      <c r="A231" s="78" t="s">
        <v>1210</v>
      </c>
      <c r="B231" s="78"/>
      <c r="C231" s="78"/>
      <c r="D231" s="78"/>
      <c r="E231" s="78"/>
      <c r="F231" s="78" t="s">
        <v>1204</v>
      </c>
      <c r="G231" s="78"/>
      <c r="H231" s="78"/>
      <c r="I231" s="78"/>
    </row>
    <row r="232" spans="1:9" x14ac:dyDescent="0.45">
      <c r="A232" s="78" t="s">
        <v>1211</v>
      </c>
      <c r="B232" s="78"/>
      <c r="C232" s="78"/>
      <c r="D232" s="78"/>
      <c r="E232" s="78"/>
      <c r="F232" s="78" t="s">
        <v>72</v>
      </c>
      <c r="G232" s="78"/>
      <c r="H232" s="78"/>
      <c r="I232" s="78"/>
    </row>
    <row r="233" spans="1:9" x14ac:dyDescent="0.45">
      <c r="A233" s="78" t="s">
        <v>35</v>
      </c>
      <c r="B233" s="78"/>
      <c r="C233" s="78"/>
      <c r="D233" s="78"/>
      <c r="E233" s="78"/>
      <c r="F233" s="78" t="s">
        <v>1205</v>
      </c>
      <c r="G233" s="78"/>
      <c r="H233" s="78"/>
      <c r="I233" s="78"/>
    </row>
    <row r="234" spans="1:9" x14ac:dyDescent="0.45">
      <c r="A234" s="78" t="s">
        <v>36</v>
      </c>
      <c r="B234" s="78"/>
      <c r="C234" s="78"/>
      <c r="D234" s="78"/>
      <c r="E234" s="78"/>
      <c r="F234" s="78" t="s">
        <v>1219</v>
      </c>
      <c r="G234" s="78"/>
      <c r="H234" s="78"/>
      <c r="I234" s="78"/>
    </row>
    <row r="235" spans="1:9" x14ac:dyDescent="0.45">
      <c r="A235" s="78" t="s">
        <v>75</v>
      </c>
      <c r="B235" s="78"/>
      <c r="C235" s="78"/>
      <c r="D235" s="78"/>
      <c r="E235" s="78"/>
      <c r="F235" s="78" t="s">
        <v>1220</v>
      </c>
      <c r="G235" s="78"/>
      <c r="H235" s="78"/>
      <c r="I235" s="78"/>
    </row>
    <row r="236" spans="1:9" x14ac:dyDescent="0.45">
      <c r="A236" s="80" t="s">
        <v>1212</v>
      </c>
      <c r="B236" s="78"/>
      <c r="C236" s="78"/>
      <c r="D236" s="78"/>
      <c r="E236" s="78"/>
      <c r="F236" s="78"/>
      <c r="G236" s="78"/>
      <c r="H236" s="78"/>
      <c r="I236" s="78"/>
    </row>
    <row r="237" spans="1:9" x14ac:dyDescent="0.45">
      <c r="A237" s="80" t="s">
        <v>1213</v>
      </c>
      <c r="B237" s="78"/>
      <c r="C237" s="78"/>
      <c r="D237" s="78"/>
      <c r="E237" s="78"/>
      <c r="F237" s="78" t="s">
        <v>73</v>
      </c>
      <c r="G237" s="78"/>
      <c r="H237" s="78"/>
      <c r="I237" s="78"/>
    </row>
    <row r="238" spans="1:9" x14ac:dyDescent="0.45">
      <c r="A238" s="78" t="s">
        <v>1214</v>
      </c>
      <c r="B238" s="78"/>
      <c r="C238" s="78"/>
      <c r="D238" s="78"/>
      <c r="E238" s="78"/>
      <c r="F238" s="78" t="s">
        <v>1221</v>
      </c>
      <c r="G238" s="78"/>
      <c r="H238" s="78"/>
      <c r="I238" s="78"/>
    </row>
    <row r="239" spans="1:9" x14ac:dyDescent="0.45">
      <c r="A239" s="78" t="s">
        <v>1215</v>
      </c>
      <c r="B239" s="78"/>
      <c r="C239" s="78"/>
      <c r="D239" s="78"/>
      <c r="E239" s="78"/>
      <c r="F239" s="78" t="s">
        <v>1222</v>
      </c>
      <c r="G239" s="78"/>
      <c r="H239" s="78"/>
      <c r="I239" s="78"/>
    </row>
    <row r="240" spans="1:9" x14ac:dyDescent="0.45">
      <c r="A240" s="78" t="s">
        <v>1216</v>
      </c>
      <c r="B240" s="78"/>
      <c r="C240" s="78"/>
      <c r="D240" s="78"/>
      <c r="E240" s="78"/>
      <c r="F240" s="78" t="s">
        <v>296</v>
      </c>
      <c r="G240" s="78"/>
      <c r="H240" s="78"/>
      <c r="I240" s="78"/>
    </row>
    <row r="241" spans="1:9" x14ac:dyDescent="0.45">
      <c r="A241" s="78" t="s">
        <v>1217</v>
      </c>
      <c r="B241" s="78"/>
      <c r="C241" s="78"/>
      <c r="D241" s="78"/>
      <c r="E241" s="78"/>
      <c r="F241" s="78"/>
      <c r="G241" s="78"/>
      <c r="H241" s="78"/>
      <c r="I241" s="78"/>
    </row>
    <row r="242" spans="1:9" x14ac:dyDescent="0.45">
      <c r="A242" s="78" t="s">
        <v>1218</v>
      </c>
      <c r="B242" s="78"/>
      <c r="C242" s="78"/>
      <c r="D242" s="78"/>
      <c r="E242" s="78"/>
      <c r="F242" s="78"/>
      <c r="G242" s="78"/>
      <c r="H242" s="78"/>
      <c r="I242" s="78"/>
    </row>
    <row r="243" spans="1:9" x14ac:dyDescent="0.45">
      <c r="A243" s="78"/>
      <c r="B243" s="78"/>
      <c r="C243" s="78"/>
      <c r="D243" s="78"/>
      <c r="E243" s="78"/>
      <c r="F243" s="78"/>
      <c r="G243" s="78"/>
      <c r="H243" s="78"/>
      <c r="I243" s="78"/>
    </row>
    <row r="244" spans="1:9" x14ac:dyDescent="0.45">
      <c r="A244" s="78" t="s">
        <v>39</v>
      </c>
      <c r="B244" s="78"/>
      <c r="C244" s="78"/>
      <c r="D244" s="78"/>
      <c r="E244" s="78"/>
      <c r="F244" s="78"/>
      <c r="G244" s="78"/>
      <c r="H244" s="78"/>
      <c r="I244" s="78"/>
    </row>
    <row r="245" spans="1:9" x14ac:dyDescent="0.45">
      <c r="A245" s="78" t="s">
        <v>40</v>
      </c>
      <c r="B245" s="78"/>
      <c r="C245" s="78"/>
      <c r="D245" s="78"/>
      <c r="E245" s="78"/>
      <c r="F245" s="78"/>
      <c r="G245" s="78"/>
      <c r="H245" s="78"/>
      <c r="I245" s="78"/>
    </row>
    <row r="246" spans="1:9" x14ac:dyDescent="0.45">
      <c r="A246" s="78" t="s">
        <v>38</v>
      </c>
      <c r="B246" s="78"/>
      <c r="C246" s="78"/>
      <c r="D246" s="78"/>
      <c r="E246" s="78"/>
      <c r="F246" s="78"/>
      <c r="G246" s="78"/>
      <c r="H246" s="78"/>
      <c r="I246" s="78"/>
    </row>
    <row r="247" spans="1:9" x14ac:dyDescent="0.45">
      <c r="A247" s="78" t="s">
        <v>540</v>
      </c>
      <c r="B247" s="78"/>
      <c r="C247" s="78"/>
      <c r="D247" s="78"/>
      <c r="E247" s="78"/>
      <c r="F247" s="78"/>
      <c r="G247" s="78"/>
      <c r="H247" s="78"/>
      <c r="I247" s="78"/>
    </row>
    <row r="249" spans="1:9" x14ac:dyDescent="0.45">
      <c r="A249" s="12" t="s">
        <v>1223</v>
      </c>
    </row>
    <row r="250" spans="1:9" x14ac:dyDescent="0.45">
      <c r="A250" s="77" t="s">
        <v>1054</v>
      </c>
      <c r="B250" s="77"/>
      <c r="C250" s="77"/>
      <c r="D250" s="77"/>
      <c r="E250" s="77"/>
      <c r="F250" s="77" t="s">
        <v>1232</v>
      </c>
      <c r="G250" s="77"/>
      <c r="H250" s="77"/>
      <c r="I250" s="77"/>
    </row>
    <row r="251" spans="1:9" x14ac:dyDescent="0.45">
      <c r="A251" s="77" t="s">
        <v>1224</v>
      </c>
      <c r="B251" s="77"/>
      <c r="C251" s="77"/>
      <c r="D251" s="77"/>
      <c r="E251" s="77"/>
      <c r="F251" s="77" t="s">
        <v>72</v>
      </c>
      <c r="G251" s="77"/>
      <c r="H251" s="77"/>
      <c r="I251" s="77"/>
    </row>
    <row r="252" spans="1:9" x14ac:dyDescent="0.45">
      <c r="A252" s="77" t="s">
        <v>35</v>
      </c>
      <c r="B252" s="77"/>
      <c r="C252" s="77"/>
      <c r="D252" s="77"/>
      <c r="E252" s="77"/>
      <c r="F252" s="77" t="s">
        <v>1233</v>
      </c>
      <c r="G252" s="77"/>
      <c r="H252" s="77"/>
      <c r="I252" s="77"/>
    </row>
    <row r="253" spans="1:9" x14ac:dyDescent="0.45">
      <c r="A253" s="77" t="s">
        <v>36</v>
      </c>
      <c r="B253" s="77"/>
      <c r="C253" s="77"/>
      <c r="D253" s="77"/>
      <c r="E253" s="77"/>
      <c r="F253" s="77" t="s">
        <v>1234</v>
      </c>
      <c r="G253" s="77"/>
      <c r="H253" s="77"/>
      <c r="I253" s="77"/>
    </row>
    <row r="254" spans="1:9" x14ac:dyDescent="0.45">
      <c r="A254" s="77" t="s">
        <v>58</v>
      </c>
      <c r="B254" s="77"/>
      <c r="C254" s="77"/>
      <c r="D254" s="77"/>
      <c r="E254" s="77"/>
      <c r="F254" s="77" t="s">
        <v>1235</v>
      </c>
      <c r="G254" s="77"/>
      <c r="H254" s="77"/>
      <c r="I254" s="77"/>
    </row>
    <row r="255" spans="1:9" x14ac:dyDescent="0.45">
      <c r="A255" s="79" t="s">
        <v>1225</v>
      </c>
      <c r="B255" s="77"/>
      <c r="C255" s="77"/>
      <c r="D255" s="77"/>
      <c r="E255" s="77"/>
      <c r="F255" s="77"/>
      <c r="G255" s="77"/>
      <c r="H255" s="77"/>
      <c r="I255" s="77"/>
    </row>
    <row r="256" spans="1:9" x14ac:dyDescent="0.45">
      <c r="A256" s="79" t="s">
        <v>1226</v>
      </c>
      <c r="B256" s="77"/>
      <c r="C256" s="77"/>
      <c r="D256" s="77"/>
      <c r="E256" s="77"/>
      <c r="F256" s="77" t="s">
        <v>73</v>
      </c>
      <c r="G256" s="77"/>
      <c r="H256" s="77"/>
      <c r="I256" s="77"/>
    </row>
    <row r="257" spans="1:9" x14ac:dyDescent="0.45">
      <c r="A257" s="77" t="s">
        <v>1227</v>
      </c>
      <c r="B257" s="77"/>
      <c r="C257" s="77"/>
      <c r="D257" s="77"/>
      <c r="E257" s="77"/>
      <c r="F257" s="77" t="s">
        <v>74</v>
      </c>
      <c r="G257" s="77"/>
      <c r="H257" s="77"/>
      <c r="I257" s="77"/>
    </row>
    <row r="258" spans="1:9" x14ac:dyDescent="0.45">
      <c r="A258" s="77" t="s">
        <v>1228</v>
      </c>
      <c r="B258" s="77"/>
      <c r="C258" s="77"/>
      <c r="D258" s="77"/>
      <c r="E258" s="77"/>
      <c r="F258" s="77" t="s">
        <v>1236</v>
      </c>
      <c r="G258" s="77"/>
      <c r="H258" s="77"/>
      <c r="I258" s="77"/>
    </row>
    <row r="259" spans="1:9" x14ac:dyDescent="0.45">
      <c r="A259" s="77" t="s">
        <v>1229</v>
      </c>
      <c r="B259" s="77"/>
      <c r="C259" s="77"/>
      <c r="D259" s="77"/>
      <c r="E259" s="77"/>
      <c r="F259" s="77" t="s">
        <v>265</v>
      </c>
      <c r="G259" s="77"/>
      <c r="H259" s="77"/>
      <c r="I259" s="77"/>
    </row>
    <row r="260" spans="1:9" x14ac:dyDescent="0.45">
      <c r="A260" s="77" t="s">
        <v>1230</v>
      </c>
      <c r="B260" s="77"/>
      <c r="C260" s="77"/>
      <c r="D260" s="77"/>
      <c r="E260" s="77"/>
      <c r="F260" s="77"/>
      <c r="G260" s="77"/>
      <c r="H260" s="77"/>
      <c r="I260" s="77"/>
    </row>
    <row r="261" spans="1:9" x14ac:dyDescent="0.45">
      <c r="A261" s="77" t="s">
        <v>1231</v>
      </c>
      <c r="B261" s="77"/>
      <c r="C261" s="77"/>
      <c r="D261" s="77"/>
      <c r="E261" s="77"/>
      <c r="F261" s="77"/>
      <c r="G261" s="77"/>
      <c r="H261" s="77"/>
      <c r="I261" s="77"/>
    </row>
    <row r="262" spans="1:9" x14ac:dyDescent="0.45">
      <c r="A262" s="77"/>
      <c r="B262" s="77"/>
      <c r="C262" s="77"/>
      <c r="D262" s="77"/>
      <c r="E262" s="77"/>
      <c r="F262" s="77"/>
      <c r="G262" s="77"/>
      <c r="H262" s="77"/>
      <c r="I262" s="77"/>
    </row>
    <row r="263" spans="1:9" x14ac:dyDescent="0.45">
      <c r="A263" s="77" t="s">
        <v>39</v>
      </c>
      <c r="B263" s="77"/>
      <c r="C263" s="77"/>
      <c r="D263" s="77"/>
      <c r="E263" s="77"/>
      <c r="F263" s="77"/>
      <c r="G263" s="77"/>
      <c r="H263" s="77"/>
      <c r="I263" s="77"/>
    </row>
    <row r="264" spans="1:9" x14ac:dyDescent="0.45">
      <c r="A264" s="77" t="s">
        <v>40</v>
      </c>
      <c r="B264" s="77"/>
      <c r="C264" s="77"/>
      <c r="D264" s="77"/>
      <c r="E264" s="77"/>
      <c r="F264" s="77"/>
      <c r="G264" s="77"/>
      <c r="H264" s="77"/>
      <c r="I264" s="77"/>
    </row>
    <row r="265" spans="1:9" x14ac:dyDescent="0.45">
      <c r="A265" s="77" t="s">
        <v>38</v>
      </c>
      <c r="B265" s="77"/>
      <c r="C265" s="77"/>
      <c r="D265" s="77"/>
      <c r="E265" s="77"/>
      <c r="F265" s="77"/>
      <c r="G265" s="77"/>
      <c r="H265" s="77"/>
      <c r="I265" s="77"/>
    </row>
    <row r="266" spans="1:9" x14ac:dyDescent="0.45">
      <c r="A266" s="77" t="s">
        <v>540</v>
      </c>
      <c r="B266" s="77"/>
      <c r="C266" s="77"/>
      <c r="D266" s="77"/>
      <c r="E266" s="77"/>
      <c r="F266" s="77"/>
      <c r="G266" s="77"/>
      <c r="H266" s="77"/>
      <c r="I266" s="77"/>
    </row>
    <row r="268" spans="1:9" x14ac:dyDescent="0.45">
      <c r="A268" s="78" t="s">
        <v>1210</v>
      </c>
      <c r="B268" s="78"/>
      <c r="C268" s="78"/>
      <c r="D268" s="78"/>
      <c r="E268" s="78"/>
      <c r="F268" s="78" t="s">
        <v>1232</v>
      </c>
      <c r="G268" s="78"/>
      <c r="H268" s="78"/>
      <c r="I268" s="78"/>
    </row>
    <row r="269" spans="1:9" x14ac:dyDescent="0.45">
      <c r="A269" s="78" t="s">
        <v>1237</v>
      </c>
      <c r="B269" s="78"/>
      <c r="C269" s="78"/>
      <c r="D269" s="78"/>
      <c r="E269" s="78"/>
      <c r="F269" s="78" t="s">
        <v>72</v>
      </c>
      <c r="G269" s="78"/>
      <c r="H269" s="78"/>
      <c r="I269" s="78"/>
    </row>
    <row r="270" spans="1:9" x14ac:dyDescent="0.45">
      <c r="A270" s="78" t="s">
        <v>35</v>
      </c>
      <c r="B270" s="78"/>
      <c r="C270" s="78"/>
      <c r="D270" s="78"/>
      <c r="E270" s="78"/>
      <c r="F270" s="78" t="s">
        <v>1245</v>
      </c>
      <c r="G270" s="78"/>
      <c r="H270" s="78"/>
      <c r="I270" s="78"/>
    </row>
    <row r="271" spans="1:9" x14ac:dyDescent="0.45">
      <c r="A271" s="78" t="s">
        <v>36</v>
      </c>
      <c r="B271" s="78"/>
      <c r="C271" s="78"/>
      <c r="D271" s="78"/>
      <c r="E271" s="78"/>
      <c r="F271" s="78" t="s">
        <v>1246</v>
      </c>
      <c r="G271" s="78"/>
      <c r="H271" s="78"/>
      <c r="I271" s="78"/>
    </row>
    <row r="272" spans="1:9" x14ac:dyDescent="0.45">
      <c r="A272" s="78" t="s">
        <v>75</v>
      </c>
      <c r="B272" s="78"/>
      <c r="C272" s="78"/>
      <c r="D272" s="78"/>
      <c r="E272" s="78"/>
      <c r="F272" s="78" t="s">
        <v>1235</v>
      </c>
      <c r="G272" s="78"/>
      <c r="H272" s="78"/>
      <c r="I272" s="78"/>
    </row>
    <row r="273" spans="1:9" x14ac:dyDescent="0.45">
      <c r="A273" s="80" t="s">
        <v>1238</v>
      </c>
      <c r="B273" s="78"/>
      <c r="C273" s="78"/>
      <c r="D273" s="78"/>
      <c r="E273" s="78"/>
      <c r="F273" s="78"/>
      <c r="G273" s="78"/>
      <c r="H273" s="78"/>
      <c r="I273" s="78"/>
    </row>
    <row r="274" spans="1:9" x14ac:dyDescent="0.45">
      <c r="A274" s="80" t="s">
        <v>1239</v>
      </c>
      <c r="B274" s="78"/>
      <c r="C274" s="78"/>
      <c r="D274" s="78"/>
      <c r="E274" s="78"/>
      <c r="F274" s="78" t="s">
        <v>73</v>
      </c>
      <c r="G274" s="78"/>
      <c r="H274" s="78"/>
      <c r="I274" s="78"/>
    </row>
    <row r="275" spans="1:9" x14ac:dyDescent="0.45">
      <c r="A275" s="78" t="s">
        <v>1240</v>
      </c>
      <c r="B275" s="78"/>
      <c r="C275" s="78"/>
      <c r="D275" s="78"/>
      <c r="E275" s="78"/>
      <c r="F275" s="78" t="s">
        <v>1221</v>
      </c>
      <c r="G275" s="78"/>
      <c r="H275" s="78"/>
      <c r="I275" s="78"/>
    </row>
    <row r="276" spans="1:9" x14ac:dyDescent="0.45">
      <c r="A276" s="78" t="s">
        <v>1241</v>
      </c>
      <c r="B276" s="78"/>
      <c r="C276" s="78"/>
      <c r="D276" s="78"/>
      <c r="E276" s="78"/>
      <c r="F276" s="78" t="s">
        <v>1247</v>
      </c>
      <c r="G276" s="78"/>
      <c r="H276" s="78"/>
      <c r="I276" s="78"/>
    </row>
    <row r="277" spans="1:9" x14ac:dyDescent="0.45">
      <c r="A277" s="78" t="s">
        <v>1242</v>
      </c>
      <c r="B277" s="78"/>
      <c r="C277" s="78"/>
      <c r="D277" s="78"/>
      <c r="E277" s="78"/>
      <c r="F277" s="78" t="s">
        <v>265</v>
      </c>
      <c r="G277" s="78"/>
      <c r="H277" s="78"/>
      <c r="I277" s="78"/>
    </row>
    <row r="278" spans="1:9" x14ac:dyDescent="0.45">
      <c r="A278" s="78" t="s">
        <v>1243</v>
      </c>
      <c r="B278" s="78"/>
      <c r="C278" s="78"/>
      <c r="D278" s="78"/>
      <c r="E278" s="78"/>
      <c r="F278" s="78"/>
      <c r="G278" s="78"/>
      <c r="H278" s="78"/>
      <c r="I278" s="78"/>
    </row>
    <row r="279" spans="1:9" x14ac:dyDescent="0.45">
      <c r="A279" s="78" t="s">
        <v>1244</v>
      </c>
      <c r="B279" s="78"/>
      <c r="C279" s="78"/>
      <c r="D279" s="78"/>
      <c r="E279" s="78"/>
      <c r="F279" s="78"/>
      <c r="G279" s="78"/>
      <c r="H279" s="78"/>
      <c r="I279" s="78"/>
    </row>
    <row r="280" spans="1:9" x14ac:dyDescent="0.45">
      <c r="A280" s="78"/>
      <c r="B280" s="78"/>
      <c r="C280" s="78"/>
      <c r="D280" s="78"/>
      <c r="E280" s="78"/>
      <c r="F280" s="78"/>
      <c r="G280" s="78"/>
      <c r="H280" s="78"/>
      <c r="I280" s="78"/>
    </row>
    <row r="281" spans="1:9" x14ac:dyDescent="0.45">
      <c r="A281" s="78" t="s">
        <v>39</v>
      </c>
      <c r="B281" s="78"/>
      <c r="C281" s="78"/>
      <c r="D281" s="78"/>
      <c r="E281" s="78"/>
      <c r="F281" s="78"/>
      <c r="G281" s="78"/>
      <c r="H281" s="78"/>
      <c r="I281" s="78"/>
    </row>
    <row r="282" spans="1:9" x14ac:dyDescent="0.45">
      <c r="A282" s="78" t="s">
        <v>40</v>
      </c>
      <c r="B282" s="78"/>
      <c r="C282" s="78"/>
      <c r="D282" s="78"/>
      <c r="E282" s="78"/>
      <c r="F282" s="78"/>
      <c r="G282" s="78"/>
      <c r="H282" s="78"/>
      <c r="I282" s="78"/>
    </row>
    <row r="283" spans="1:9" x14ac:dyDescent="0.45">
      <c r="A283" s="78" t="s">
        <v>38</v>
      </c>
      <c r="B283" s="78"/>
      <c r="C283" s="78"/>
      <c r="D283" s="78"/>
      <c r="E283" s="78"/>
      <c r="F283" s="78"/>
      <c r="G283" s="78"/>
      <c r="H283" s="78"/>
      <c r="I283" s="78"/>
    </row>
    <row r="284" spans="1:9" x14ac:dyDescent="0.45">
      <c r="A284" s="78" t="s">
        <v>540</v>
      </c>
      <c r="B284" s="78"/>
      <c r="C284" s="78"/>
      <c r="D284" s="78"/>
      <c r="E284" s="78"/>
      <c r="F284" s="78"/>
      <c r="G284" s="78"/>
      <c r="H284" s="78"/>
      <c r="I284" s="78"/>
    </row>
    <row r="286" spans="1:9" x14ac:dyDescent="0.45">
      <c r="A286" s="12" t="s">
        <v>1248</v>
      </c>
    </row>
    <row r="287" spans="1:9" x14ac:dyDescent="0.45">
      <c r="A287" s="77" t="s">
        <v>1044</v>
      </c>
      <c r="B287" s="77"/>
      <c r="C287" s="77"/>
      <c r="D287" s="77"/>
      <c r="E287" s="77"/>
      <c r="F287" s="77" t="s">
        <v>1257</v>
      </c>
      <c r="G287" s="77"/>
      <c r="H287" s="77"/>
      <c r="I287" s="77"/>
    </row>
    <row r="288" spans="1:9" x14ac:dyDescent="0.45">
      <c r="A288" s="77" t="s">
        <v>1249</v>
      </c>
      <c r="B288" s="77"/>
      <c r="C288" s="77"/>
      <c r="D288" s="77"/>
      <c r="E288" s="77"/>
      <c r="F288" s="77" t="s">
        <v>1258</v>
      </c>
      <c r="G288" s="77"/>
      <c r="H288" s="77"/>
      <c r="I288" s="77"/>
    </row>
    <row r="289" spans="1:9" x14ac:dyDescent="0.45">
      <c r="A289" s="77" t="s">
        <v>35</v>
      </c>
      <c r="B289" s="77"/>
      <c r="C289" s="77"/>
      <c r="D289" s="77"/>
      <c r="E289" s="77"/>
      <c r="F289" s="77" t="s">
        <v>1259</v>
      </c>
      <c r="G289" s="77"/>
      <c r="H289" s="77"/>
      <c r="I289" s="77"/>
    </row>
    <row r="290" spans="1:9" x14ac:dyDescent="0.45">
      <c r="A290" s="77" t="s">
        <v>36</v>
      </c>
      <c r="B290" s="77"/>
      <c r="C290" s="77"/>
      <c r="D290" s="77"/>
      <c r="E290" s="77"/>
      <c r="F290" s="77" t="s">
        <v>72</v>
      </c>
      <c r="G290" s="77"/>
      <c r="H290" s="77"/>
      <c r="I290" s="77"/>
    </row>
    <row r="291" spans="1:9" x14ac:dyDescent="0.45">
      <c r="A291" s="77" t="s">
        <v>58</v>
      </c>
      <c r="B291" s="77"/>
      <c r="C291" s="77"/>
      <c r="D291" s="77"/>
      <c r="E291" s="77"/>
      <c r="F291" s="77" t="s">
        <v>1260</v>
      </c>
      <c r="G291" s="77"/>
      <c r="H291" s="77"/>
      <c r="I291" s="77"/>
    </row>
    <row r="292" spans="1:9" x14ac:dyDescent="0.45">
      <c r="A292" s="79" t="s">
        <v>1250</v>
      </c>
      <c r="B292" s="77"/>
      <c r="C292" s="77"/>
      <c r="D292" s="77"/>
      <c r="E292" s="77"/>
      <c r="F292" s="77" t="s">
        <v>1261</v>
      </c>
      <c r="G292" s="77"/>
      <c r="H292" s="77"/>
      <c r="I292" s="77"/>
    </row>
    <row r="293" spans="1:9" x14ac:dyDescent="0.45">
      <c r="A293" s="79" t="s">
        <v>1251</v>
      </c>
      <c r="B293" s="77"/>
      <c r="C293" s="77"/>
      <c r="D293" s="77"/>
      <c r="E293" s="77"/>
      <c r="F293" s="77" t="s">
        <v>1262</v>
      </c>
      <c r="G293" s="77"/>
      <c r="H293" s="77"/>
      <c r="I293" s="77"/>
    </row>
    <row r="294" spans="1:9" x14ac:dyDescent="0.45">
      <c r="A294" s="77" t="s">
        <v>1252</v>
      </c>
      <c r="B294" s="77"/>
      <c r="C294" s="77"/>
      <c r="D294" s="77"/>
      <c r="E294" s="77"/>
      <c r="F294" s="77"/>
      <c r="G294" s="77"/>
      <c r="H294" s="77"/>
      <c r="I294" s="77"/>
    </row>
    <row r="295" spans="1:9" x14ac:dyDescent="0.45">
      <c r="A295" s="77" t="s">
        <v>1253</v>
      </c>
      <c r="B295" s="77"/>
      <c r="C295" s="77"/>
      <c r="D295" s="77"/>
      <c r="E295" s="77"/>
      <c r="F295" s="77" t="s">
        <v>73</v>
      </c>
      <c r="G295" s="77"/>
      <c r="H295" s="77"/>
      <c r="I295" s="77"/>
    </row>
    <row r="296" spans="1:9" x14ac:dyDescent="0.45">
      <c r="A296" s="77" t="s">
        <v>1254</v>
      </c>
      <c r="B296" s="77"/>
      <c r="C296" s="77"/>
      <c r="D296" s="77"/>
      <c r="E296" s="77"/>
      <c r="F296" s="77" t="s">
        <v>1263</v>
      </c>
      <c r="G296" s="77"/>
      <c r="H296" s="77"/>
      <c r="I296" s="77"/>
    </row>
    <row r="297" spans="1:9" x14ac:dyDescent="0.45">
      <c r="A297" s="77" t="s">
        <v>1255</v>
      </c>
      <c r="B297" s="77"/>
      <c r="C297" s="77"/>
      <c r="D297" s="77"/>
      <c r="E297" s="77"/>
      <c r="F297" s="77" t="s">
        <v>1264</v>
      </c>
      <c r="G297" s="77"/>
      <c r="H297" s="77"/>
      <c r="I297" s="77"/>
    </row>
    <row r="298" spans="1:9" x14ac:dyDescent="0.45">
      <c r="A298" s="77" t="s">
        <v>1256</v>
      </c>
      <c r="B298" s="77"/>
      <c r="C298" s="77"/>
      <c r="D298" s="77"/>
      <c r="E298" s="77"/>
      <c r="F298" s="77" t="s">
        <v>273</v>
      </c>
      <c r="G298" s="77"/>
      <c r="H298" s="77"/>
      <c r="I298" s="77"/>
    </row>
    <row r="299" spans="1:9" x14ac:dyDescent="0.45">
      <c r="A299" s="77"/>
      <c r="B299" s="77"/>
      <c r="C299" s="77"/>
      <c r="D299" s="77"/>
      <c r="E299" s="77"/>
      <c r="F299" s="77"/>
      <c r="G299" s="77"/>
      <c r="H299" s="77"/>
      <c r="I299" s="77"/>
    </row>
    <row r="300" spans="1:9" x14ac:dyDescent="0.45">
      <c r="A300" s="77" t="s">
        <v>39</v>
      </c>
      <c r="B300" s="77"/>
      <c r="C300" s="77"/>
      <c r="D300" s="77"/>
      <c r="E300" s="77"/>
      <c r="F300" s="77"/>
      <c r="G300" s="77"/>
      <c r="H300" s="77"/>
      <c r="I300" s="77"/>
    </row>
    <row r="301" spans="1:9" x14ac:dyDescent="0.45">
      <c r="A301" s="77" t="s">
        <v>40</v>
      </c>
      <c r="B301" s="77"/>
      <c r="C301" s="77"/>
      <c r="D301" s="77"/>
      <c r="E301" s="77"/>
      <c r="F301" s="77"/>
      <c r="G301" s="77"/>
      <c r="H301" s="77"/>
      <c r="I301" s="77"/>
    </row>
    <row r="302" spans="1:9" x14ac:dyDescent="0.45">
      <c r="A302" s="77" t="s">
        <v>38</v>
      </c>
      <c r="B302" s="77"/>
      <c r="C302" s="77"/>
      <c r="D302" s="77"/>
      <c r="E302" s="77"/>
      <c r="F302" s="77"/>
      <c r="G302" s="77"/>
      <c r="H302" s="77"/>
      <c r="I302" s="77"/>
    </row>
    <row r="303" spans="1:9" x14ac:dyDescent="0.45">
      <c r="A303" s="77" t="s">
        <v>540</v>
      </c>
      <c r="B303" s="77"/>
      <c r="C303" s="77"/>
      <c r="D303" s="77"/>
      <c r="E303" s="77"/>
      <c r="F303" s="77"/>
      <c r="G303" s="77"/>
      <c r="H303" s="77"/>
      <c r="I303" s="77"/>
    </row>
    <row r="305" spans="1:9" x14ac:dyDescent="0.45">
      <c r="A305" s="78" t="s">
        <v>1210</v>
      </c>
      <c r="B305" s="78"/>
      <c r="C305" s="78"/>
      <c r="D305" s="78"/>
      <c r="E305" s="78"/>
      <c r="F305" s="78" t="s">
        <v>1259</v>
      </c>
      <c r="G305" s="78"/>
      <c r="H305" s="78"/>
      <c r="I305" s="78"/>
    </row>
    <row r="306" spans="1:9" x14ac:dyDescent="0.45">
      <c r="A306" s="78" t="s">
        <v>1265</v>
      </c>
      <c r="B306" s="78"/>
      <c r="C306" s="78"/>
      <c r="D306" s="78"/>
      <c r="E306" s="78"/>
      <c r="F306" s="78" t="s">
        <v>72</v>
      </c>
      <c r="G306" s="78"/>
      <c r="H306" s="78"/>
      <c r="I306" s="78"/>
    </row>
    <row r="307" spans="1:9" x14ac:dyDescent="0.45">
      <c r="A307" s="78" t="s">
        <v>35</v>
      </c>
      <c r="B307" s="78"/>
      <c r="C307" s="78"/>
      <c r="D307" s="78"/>
      <c r="E307" s="78"/>
      <c r="F307" s="78" t="s">
        <v>1273</v>
      </c>
      <c r="G307" s="78"/>
      <c r="H307" s="78"/>
      <c r="I307" s="78"/>
    </row>
    <row r="308" spans="1:9" x14ac:dyDescent="0.45">
      <c r="A308" s="78" t="s">
        <v>36</v>
      </c>
      <c r="B308" s="78"/>
      <c r="C308" s="78"/>
      <c r="D308" s="78"/>
      <c r="E308" s="78"/>
      <c r="F308" s="78" t="s">
        <v>1274</v>
      </c>
      <c r="G308" s="78"/>
      <c r="H308" s="78"/>
      <c r="I308" s="78"/>
    </row>
    <row r="309" spans="1:9" x14ac:dyDescent="0.45">
      <c r="A309" s="78" t="s">
        <v>75</v>
      </c>
      <c r="B309" s="78"/>
      <c r="C309" s="78"/>
      <c r="D309" s="78"/>
      <c r="E309" s="78"/>
      <c r="F309" s="78" t="s">
        <v>1275</v>
      </c>
      <c r="G309" s="78"/>
      <c r="H309" s="78"/>
      <c r="I309" s="78"/>
    </row>
    <row r="310" spans="1:9" x14ac:dyDescent="0.45">
      <c r="A310" s="80" t="s">
        <v>1266</v>
      </c>
      <c r="B310" s="78"/>
      <c r="C310" s="78"/>
      <c r="D310" s="78"/>
      <c r="E310" s="78"/>
      <c r="F310" s="78"/>
      <c r="G310" s="78"/>
      <c r="H310" s="78"/>
      <c r="I310" s="78"/>
    </row>
    <row r="311" spans="1:9" x14ac:dyDescent="0.45">
      <c r="A311" s="80" t="s">
        <v>1267</v>
      </c>
      <c r="B311" s="78"/>
      <c r="C311" s="78"/>
      <c r="D311" s="78"/>
      <c r="E311" s="78"/>
      <c r="F311" s="78" t="s">
        <v>73</v>
      </c>
      <c r="G311" s="78"/>
      <c r="H311" s="78"/>
      <c r="I311" s="78"/>
    </row>
    <row r="312" spans="1:9" x14ac:dyDescent="0.45">
      <c r="A312" s="78" t="s">
        <v>1268</v>
      </c>
      <c r="B312" s="78"/>
      <c r="C312" s="78"/>
      <c r="D312" s="78"/>
      <c r="E312" s="78"/>
      <c r="F312" s="78" t="s">
        <v>74</v>
      </c>
      <c r="G312" s="78"/>
      <c r="H312" s="78"/>
      <c r="I312" s="78"/>
    </row>
    <row r="313" spans="1:9" x14ac:dyDescent="0.45">
      <c r="A313" s="78" t="s">
        <v>1269</v>
      </c>
      <c r="B313" s="78"/>
      <c r="C313" s="78"/>
      <c r="D313" s="78"/>
      <c r="E313" s="78"/>
      <c r="F313" s="78" t="s">
        <v>1276</v>
      </c>
      <c r="G313" s="78"/>
      <c r="H313" s="78"/>
      <c r="I313" s="78"/>
    </row>
    <row r="314" spans="1:9" x14ac:dyDescent="0.45">
      <c r="A314" s="78" t="s">
        <v>1270</v>
      </c>
      <c r="B314" s="78"/>
      <c r="C314" s="78"/>
      <c r="D314" s="78"/>
      <c r="E314" s="78"/>
      <c r="F314" s="78" t="s">
        <v>273</v>
      </c>
      <c r="G314" s="78"/>
      <c r="H314" s="78"/>
      <c r="I314" s="78"/>
    </row>
    <row r="315" spans="1:9" x14ac:dyDescent="0.45">
      <c r="A315" s="78" t="s">
        <v>1271</v>
      </c>
      <c r="B315" s="78"/>
      <c r="C315" s="78"/>
      <c r="D315" s="78"/>
      <c r="E315" s="78"/>
      <c r="F315" s="78"/>
      <c r="G315" s="78"/>
      <c r="H315" s="78"/>
      <c r="I315" s="78"/>
    </row>
    <row r="316" spans="1:9" x14ac:dyDescent="0.45">
      <c r="A316" s="78" t="s">
        <v>1272</v>
      </c>
      <c r="B316" s="78"/>
      <c r="C316" s="78"/>
      <c r="D316" s="78"/>
      <c r="E316" s="78"/>
      <c r="F316" s="78"/>
      <c r="G316" s="78"/>
      <c r="H316" s="78"/>
      <c r="I316" s="78"/>
    </row>
    <row r="317" spans="1:9" x14ac:dyDescent="0.45">
      <c r="A317" s="78"/>
      <c r="B317" s="78"/>
      <c r="C317" s="78"/>
      <c r="D317" s="78"/>
      <c r="E317" s="78"/>
      <c r="F317" s="78"/>
      <c r="G317" s="78"/>
      <c r="H317" s="78"/>
      <c r="I317" s="78"/>
    </row>
    <row r="318" spans="1:9" x14ac:dyDescent="0.45">
      <c r="A318" s="78" t="s">
        <v>39</v>
      </c>
      <c r="B318" s="78"/>
      <c r="C318" s="78"/>
      <c r="D318" s="78"/>
      <c r="E318" s="78"/>
      <c r="F318" s="78"/>
      <c r="G318" s="78"/>
      <c r="H318" s="78"/>
      <c r="I318" s="78"/>
    </row>
    <row r="319" spans="1:9" x14ac:dyDescent="0.45">
      <c r="A319" s="78" t="s">
        <v>40</v>
      </c>
      <c r="B319" s="78"/>
      <c r="C319" s="78"/>
      <c r="D319" s="78"/>
      <c r="E319" s="78"/>
      <c r="F319" s="78"/>
      <c r="G319" s="78"/>
      <c r="H319" s="78"/>
      <c r="I319" s="78"/>
    </row>
    <row r="320" spans="1:9" x14ac:dyDescent="0.45">
      <c r="A320" s="78" t="s">
        <v>38</v>
      </c>
      <c r="B320" s="78"/>
      <c r="C320" s="78"/>
      <c r="D320" s="78"/>
      <c r="E320" s="78"/>
      <c r="F320" s="78"/>
      <c r="G320" s="78"/>
      <c r="H320" s="78"/>
      <c r="I320" s="78"/>
    </row>
    <row r="321" spans="1:9" x14ac:dyDescent="0.45">
      <c r="A321" s="78" t="s">
        <v>540</v>
      </c>
      <c r="B321" s="78"/>
      <c r="C321" s="78"/>
      <c r="D321" s="78"/>
      <c r="E321" s="78"/>
      <c r="F321" s="78"/>
      <c r="G321" s="78"/>
      <c r="H321" s="78"/>
      <c r="I321" s="78"/>
    </row>
    <row r="323" spans="1:9" x14ac:dyDescent="0.45">
      <c r="A323" s="12" t="s">
        <v>1277</v>
      </c>
    </row>
    <row r="324" spans="1:9" x14ac:dyDescent="0.45">
      <c r="A324" s="77" t="s">
        <v>1044</v>
      </c>
      <c r="B324" s="77"/>
      <c r="C324" s="77"/>
      <c r="D324" s="77"/>
      <c r="E324" s="77"/>
      <c r="F324" s="77" t="s">
        <v>1286</v>
      </c>
      <c r="G324" s="77"/>
      <c r="H324" s="77"/>
      <c r="I324" s="77"/>
    </row>
    <row r="325" spans="1:9" x14ac:dyDescent="0.45">
      <c r="A325" s="77" t="s">
        <v>1278</v>
      </c>
      <c r="B325" s="77"/>
      <c r="C325" s="77"/>
      <c r="D325" s="77"/>
      <c r="E325" s="77"/>
      <c r="F325" s="77" t="s">
        <v>72</v>
      </c>
      <c r="G325" s="77"/>
      <c r="H325" s="77"/>
      <c r="I325" s="77"/>
    </row>
    <row r="326" spans="1:9" x14ac:dyDescent="0.45">
      <c r="A326" s="77" t="s">
        <v>35</v>
      </c>
      <c r="B326" s="77"/>
      <c r="C326" s="77"/>
      <c r="D326" s="77"/>
      <c r="E326" s="77"/>
      <c r="F326" s="77" t="s">
        <v>1287</v>
      </c>
      <c r="G326" s="77"/>
      <c r="H326" s="77"/>
      <c r="I326" s="77"/>
    </row>
    <row r="327" spans="1:9" x14ac:dyDescent="0.45">
      <c r="A327" s="77" t="s">
        <v>36</v>
      </c>
      <c r="B327" s="77"/>
      <c r="C327" s="77"/>
      <c r="D327" s="77"/>
      <c r="E327" s="77"/>
      <c r="F327" s="77" t="s">
        <v>1288</v>
      </c>
      <c r="G327" s="77"/>
      <c r="H327" s="77"/>
      <c r="I327" s="77"/>
    </row>
    <row r="328" spans="1:9" x14ac:dyDescent="0.45">
      <c r="A328" s="77" t="s">
        <v>58</v>
      </c>
      <c r="B328" s="77"/>
      <c r="C328" s="77"/>
      <c r="D328" s="77"/>
      <c r="E328" s="77"/>
      <c r="F328" s="77" t="s">
        <v>1289</v>
      </c>
      <c r="G328" s="77"/>
      <c r="H328" s="77"/>
      <c r="I328" s="77"/>
    </row>
    <row r="329" spans="1:9" x14ac:dyDescent="0.45">
      <c r="A329" s="79" t="s">
        <v>1279</v>
      </c>
      <c r="B329" s="77"/>
      <c r="C329" s="77"/>
      <c r="D329" s="77"/>
      <c r="E329" s="77"/>
      <c r="F329" s="77"/>
      <c r="G329" s="77"/>
      <c r="H329" s="77"/>
      <c r="I329" s="77"/>
    </row>
    <row r="330" spans="1:9" x14ac:dyDescent="0.45">
      <c r="A330" s="79" t="s">
        <v>1280</v>
      </c>
      <c r="B330" s="77"/>
      <c r="C330" s="77"/>
      <c r="D330" s="77"/>
      <c r="E330" s="77"/>
      <c r="F330" s="77" t="s">
        <v>73</v>
      </c>
      <c r="G330" s="77"/>
      <c r="H330" s="77"/>
      <c r="I330" s="77"/>
    </row>
    <row r="331" spans="1:9" x14ac:dyDescent="0.45">
      <c r="A331" s="77" t="s">
        <v>1281</v>
      </c>
      <c r="B331" s="77"/>
      <c r="C331" s="77"/>
      <c r="D331" s="77"/>
      <c r="E331" s="77"/>
      <c r="F331" s="77" t="s">
        <v>1193</v>
      </c>
      <c r="G331" s="77"/>
      <c r="H331" s="77"/>
      <c r="I331" s="77"/>
    </row>
    <row r="332" spans="1:9" x14ac:dyDescent="0.45">
      <c r="A332" s="77" t="s">
        <v>1282</v>
      </c>
      <c r="B332" s="77"/>
      <c r="C332" s="77"/>
      <c r="D332" s="77"/>
      <c r="E332" s="77"/>
      <c r="F332" s="77" t="s">
        <v>1290</v>
      </c>
      <c r="G332" s="77"/>
      <c r="H332" s="77"/>
      <c r="I332" s="77"/>
    </row>
    <row r="333" spans="1:9" x14ac:dyDescent="0.45">
      <c r="A333" s="77" t="s">
        <v>1283</v>
      </c>
      <c r="B333" s="77"/>
      <c r="C333" s="77"/>
      <c r="D333" s="77"/>
      <c r="E333" s="77"/>
      <c r="F333" s="77" t="s">
        <v>278</v>
      </c>
      <c r="G333" s="77"/>
      <c r="H333" s="77"/>
      <c r="I333" s="77"/>
    </row>
    <row r="334" spans="1:9" x14ac:dyDescent="0.45">
      <c r="A334" s="77" t="s">
        <v>1284</v>
      </c>
      <c r="B334" s="77"/>
      <c r="C334" s="77"/>
      <c r="D334" s="77"/>
      <c r="E334" s="77"/>
      <c r="F334" s="77"/>
      <c r="G334" s="77"/>
      <c r="H334" s="77"/>
      <c r="I334" s="77"/>
    </row>
    <row r="335" spans="1:9" x14ac:dyDescent="0.45">
      <c r="A335" s="77" t="s">
        <v>1285</v>
      </c>
      <c r="B335" s="77"/>
      <c r="C335" s="77"/>
      <c r="D335" s="77"/>
      <c r="E335" s="77"/>
      <c r="F335" s="77"/>
      <c r="G335" s="77"/>
      <c r="H335" s="77"/>
      <c r="I335" s="77"/>
    </row>
    <row r="336" spans="1:9" x14ac:dyDescent="0.45">
      <c r="A336" s="77"/>
      <c r="B336" s="77"/>
      <c r="C336" s="77"/>
      <c r="D336" s="77"/>
      <c r="E336" s="77"/>
      <c r="F336" s="77"/>
      <c r="G336" s="77"/>
      <c r="H336" s="77"/>
      <c r="I336" s="77"/>
    </row>
    <row r="337" spans="1:9" x14ac:dyDescent="0.45">
      <c r="A337" s="77" t="s">
        <v>39</v>
      </c>
      <c r="B337" s="77"/>
      <c r="C337" s="77"/>
      <c r="D337" s="77"/>
      <c r="E337" s="77"/>
      <c r="F337" s="77"/>
      <c r="G337" s="77"/>
      <c r="H337" s="77"/>
      <c r="I337" s="77"/>
    </row>
    <row r="338" spans="1:9" x14ac:dyDescent="0.45">
      <c r="A338" s="77" t="s">
        <v>40</v>
      </c>
      <c r="B338" s="77"/>
      <c r="C338" s="77"/>
      <c r="D338" s="77"/>
      <c r="E338" s="77"/>
      <c r="F338" s="77"/>
      <c r="G338" s="77"/>
      <c r="H338" s="77"/>
      <c r="I338" s="77"/>
    </row>
    <row r="339" spans="1:9" x14ac:dyDescent="0.45">
      <c r="A339" s="77" t="s">
        <v>38</v>
      </c>
      <c r="B339" s="77"/>
      <c r="C339" s="77"/>
      <c r="D339" s="77"/>
      <c r="E339" s="77"/>
      <c r="F339" s="77"/>
      <c r="G339" s="77"/>
      <c r="H339" s="77"/>
      <c r="I339" s="77"/>
    </row>
    <row r="340" spans="1:9" x14ac:dyDescent="0.45">
      <c r="A340" s="77" t="s">
        <v>540</v>
      </c>
      <c r="B340" s="77"/>
      <c r="C340" s="77"/>
      <c r="D340" s="77"/>
      <c r="E340" s="77"/>
      <c r="F340" s="77"/>
      <c r="G340" s="77"/>
      <c r="H340" s="77"/>
      <c r="I340" s="77"/>
    </row>
    <row r="342" spans="1:9" x14ac:dyDescent="0.45">
      <c r="A342" s="78" t="s">
        <v>1210</v>
      </c>
      <c r="B342" s="78"/>
      <c r="C342" s="78"/>
      <c r="D342" s="78"/>
      <c r="E342" s="78"/>
      <c r="F342" s="78" t="s">
        <v>1286</v>
      </c>
      <c r="G342" s="78"/>
      <c r="H342" s="78"/>
      <c r="I342" s="78"/>
    </row>
    <row r="343" spans="1:9" x14ac:dyDescent="0.45">
      <c r="A343" s="78" t="s">
        <v>1291</v>
      </c>
      <c r="B343" s="78"/>
      <c r="C343" s="78"/>
      <c r="D343" s="78"/>
      <c r="E343" s="78"/>
      <c r="F343" s="78" t="s">
        <v>72</v>
      </c>
      <c r="G343" s="78"/>
      <c r="H343" s="78"/>
      <c r="I343" s="78"/>
    </row>
    <row r="344" spans="1:9" x14ac:dyDescent="0.45">
      <c r="A344" s="78" t="s">
        <v>35</v>
      </c>
      <c r="B344" s="78"/>
      <c r="C344" s="78"/>
      <c r="D344" s="78"/>
      <c r="E344" s="78"/>
      <c r="F344" s="78" t="s">
        <v>1299</v>
      </c>
      <c r="G344" s="78"/>
      <c r="H344" s="78"/>
      <c r="I344" s="78"/>
    </row>
    <row r="345" spans="1:9" x14ac:dyDescent="0.45">
      <c r="A345" s="78" t="s">
        <v>36</v>
      </c>
      <c r="B345" s="78"/>
      <c r="C345" s="78"/>
      <c r="D345" s="78"/>
      <c r="E345" s="78"/>
      <c r="F345" s="78" t="s">
        <v>1300</v>
      </c>
      <c r="G345" s="78"/>
      <c r="H345" s="78"/>
      <c r="I345" s="78"/>
    </row>
    <row r="346" spans="1:9" x14ac:dyDescent="0.45">
      <c r="A346" s="78" t="s">
        <v>75</v>
      </c>
      <c r="B346" s="78"/>
      <c r="C346" s="78"/>
      <c r="D346" s="78"/>
      <c r="E346" s="78"/>
      <c r="F346" s="78" t="s">
        <v>1301</v>
      </c>
      <c r="G346" s="78"/>
      <c r="H346" s="78"/>
      <c r="I346" s="78"/>
    </row>
    <row r="347" spans="1:9" x14ac:dyDescent="0.45">
      <c r="A347" s="80" t="s">
        <v>1292</v>
      </c>
      <c r="B347" s="78"/>
      <c r="C347" s="78"/>
      <c r="D347" s="78"/>
      <c r="E347" s="78"/>
      <c r="F347" s="78"/>
      <c r="G347" s="78"/>
      <c r="H347" s="78"/>
      <c r="I347" s="78"/>
    </row>
    <row r="348" spans="1:9" x14ac:dyDescent="0.45">
      <c r="A348" s="80" t="s">
        <v>1293</v>
      </c>
      <c r="B348" s="78"/>
      <c r="C348" s="78"/>
      <c r="D348" s="78"/>
      <c r="E348" s="78"/>
      <c r="F348" s="78" t="s">
        <v>73</v>
      </c>
      <c r="G348" s="78"/>
      <c r="H348" s="78"/>
      <c r="I348" s="78"/>
    </row>
    <row r="349" spans="1:9" x14ac:dyDescent="0.45">
      <c r="A349" s="78" t="s">
        <v>1294</v>
      </c>
      <c r="B349" s="78"/>
      <c r="C349" s="78"/>
      <c r="D349" s="78"/>
      <c r="E349" s="78"/>
      <c r="F349" s="78" t="s">
        <v>1302</v>
      </c>
      <c r="G349" s="78"/>
      <c r="H349" s="78"/>
      <c r="I349" s="78"/>
    </row>
    <row r="350" spans="1:9" x14ac:dyDescent="0.45">
      <c r="A350" s="78" t="s">
        <v>1295</v>
      </c>
      <c r="B350" s="78"/>
      <c r="C350" s="78"/>
      <c r="D350" s="78"/>
      <c r="E350" s="78"/>
      <c r="F350" s="78" t="s">
        <v>1303</v>
      </c>
      <c r="G350" s="78"/>
      <c r="H350" s="78"/>
      <c r="I350" s="78"/>
    </row>
    <row r="351" spans="1:9" x14ac:dyDescent="0.45">
      <c r="A351" s="78" t="s">
        <v>1296</v>
      </c>
      <c r="B351" s="78"/>
      <c r="C351" s="78"/>
      <c r="D351" s="78"/>
      <c r="E351" s="78"/>
      <c r="F351" s="78" t="s">
        <v>278</v>
      </c>
      <c r="G351" s="78"/>
      <c r="H351" s="78"/>
      <c r="I351" s="78"/>
    </row>
    <row r="352" spans="1:9" x14ac:dyDescent="0.45">
      <c r="A352" s="78" t="s">
        <v>1297</v>
      </c>
      <c r="B352" s="78"/>
      <c r="C352" s="78"/>
      <c r="D352" s="78"/>
      <c r="E352" s="78"/>
      <c r="F352" s="78"/>
      <c r="G352" s="78"/>
      <c r="H352" s="78"/>
      <c r="I352" s="78"/>
    </row>
    <row r="353" spans="1:9" x14ac:dyDescent="0.45">
      <c r="A353" s="78" t="s">
        <v>1298</v>
      </c>
      <c r="B353" s="78"/>
      <c r="C353" s="78"/>
      <c r="D353" s="78"/>
      <c r="E353" s="78"/>
      <c r="F353" s="78"/>
      <c r="G353" s="78"/>
      <c r="H353" s="78"/>
      <c r="I353" s="78"/>
    </row>
    <row r="354" spans="1:9" x14ac:dyDescent="0.45">
      <c r="A354" s="78"/>
      <c r="B354" s="78"/>
      <c r="C354" s="78"/>
      <c r="D354" s="78"/>
      <c r="E354" s="78"/>
      <c r="F354" s="78"/>
      <c r="G354" s="78"/>
      <c r="H354" s="78"/>
      <c r="I354" s="78"/>
    </row>
    <row r="355" spans="1:9" x14ac:dyDescent="0.45">
      <c r="A355" s="78" t="s">
        <v>39</v>
      </c>
      <c r="B355" s="78"/>
      <c r="C355" s="78"/>
      <c r="D355" s="78"/>
      <c r="E355" s="78"/>
      <c r="F355" s="78"/>
      <c r="G355" s="78"/>
      <c r="H355" s="78"/>
      <c r="I355" s="78"/>
    </row>
    <row r="356" spans="1:9" x14ac:dyDescent="0.45">
      <c r="A356" s="78" t="s">
        <v>40</v>
      </c>
      <c r="B356" s="78"/>
      <c r="C356" s="78"/>
      <c r="D356" s="78"/>
      <c r="E356" s="78"/>
      <c r="F356" s="78"/>
      <c r="G356" s="78"/>
      <c r="H356" s="78"/>
      <c r="I356" s="78"/>
    </row>
    <row r="357" spans="1:9" x14ac:dyDescent="0.45">
      <c r="A357" s="78" t="s">
        <v>38</v>
      </c>
      <c r="B357" s="78"/>
      <c r="C357" s="78"/>
      <c r="D357" s="78"/>
      <c r="E357" s="78"/>
      <c r="F357" s="78"/>
      <c r="G357" s="78"/>
      <c r="H357" s="78"/>
      <c r="I357" s="78"/>
    </row>
    <row r="358" spans="1:9" x14ac:dyDescent="0.45">
      <c r="A358" s="78" t="s">
        <v>540</v>
      </c>
      <c r="B358" s="78"/>
      <c r="C358" s="78"/>
      <c r="D358" s="78"/>
      <c r="E358" s="78"/>
      <c r="F358" s="78"/>
      <c r="G358" s="78"/>
      <c r="H358" s="78"/>
      <c r="I358" s="78"/>
    </row>
    <row r="360" spans="1:9" x14ac:dyDescent="0.45">
      <c r="A360" s="12" t="s">
        <v>1304</v>
      </c>
    </row>
    <row r="361" spans="1:9" x14ac:dyDescent="0.45">
      <c r="A361" s="77" t="s">
        <v>1044</v>
      </c>
      <c r="B361" s="77"/>
      <c r="C361" s="77"/>
      <c r="D361" s="77"/>
      <c r="E361" s="77"/>
      <c r="F361" s="77" t="s">
        <v>1313</v>
      </c>
      <c r="G361" s="77"/>
      <c r="H361" s="77"/>
      <c r="I361" s="77"/>
    </row>
    <row r="362" spans="1:9" x14ac:dyDescent="0.45">
      <c r="A362" s="77" t="s">
        <v>1305</v>
      </c>
      <c r="B362" s="77"/>
      <c r="C362" s="77"/>
      <c r="D362" s="77"/>
      <c r="E362" s="77"/>
      <c r="F362" s="77" t="s">
        <v>72</v>
      </c>
      <c r="G362" s="77"/>
      <c r="H362" s="77"/>
      <c r="I362" s="77"/>
    </row>
    <row r="363" spans="1:9" x14ac:dyDescent="0.45">
      <c r="A363" s="77" t="s">
        <v>35</v>
      </c>
      <c r="B363" s="77"/>
      <c r="C363" s="77"/>
      <c r="D363" s="77"/>
      <c r="E363" s="77"/>
      <c r="F363" s="77" t="s">
        <v>1314</v>
      </c>
      <c r="G363" s="77"/>
      <c r="H363" s="77"/>
      <c r="I363" s="77"/>
    </row>
    <row r="364" spans="1:9" x14ac:dyDescent="0.45">
      <c r="A364" s="77" t="s">
        <v>36</v>
      </c>
      <c r="B364" s="77"/>
      <c r="C364" s="77"/>
      <c r="D364" s="77"/>
      <c r="E364" s="77"/>
      <c r="F364" s="77" t="s">
        <v>1274</v>
      </c>
      <c r="G364" s="77"/>
      <c r="H364" s="77"/>
      <c r="I364" s="77"/>
    </row>
    <row r="365" spans="1:9" x14ac:dyDescent="0.45">
      <c r="A365" s="77" t="s">
        <v>58</v>
      </c>
      <c r="B365" s="77"/>
      <c r="C365" s="77"/>
      <c r="D365" s="77"/>
      <c r="E365" s="77"/>
      <c r="F365" s="77" t="s">
        <v>1315</v>
      </c>
      <c r="G365" s="77"/>
      <c r="H365" s="77"/>
      <c r="I365" s="77"/>
    </row>
    <row r="366" spans="1:9" x14ac:dyDescent="0.45">
      <c r="A366" s="79" t="s">
        <v>1306</v>
      </c>
      <c r="B366" s="77"/>
      <c r="C366" s="77"/>
      <c r="D366" s="77"/>
      <c r="E366" s="77"/>
      <c r="F366" s="77"/>
      <c r="G366" s="77"/>
      <c r="H366" s="77"/>
      <c r="I366" s="77"/>
    </row>
    <row r="367" spans="1:9" x14ac:dyDescent="0.45">
      <c r="A367" s="79" t="s">
        <v>1307</v>
      </c>
      <c r="B367" s="77"/>
      <c r="C367" s="77"/>
      <c r="D367" s="77"/>
      <c r="E367" s="77"/>
      <c r="F367" s="77" t="s">
        <v>73</v>
      </c>
      <c r="G367" s="77"/>
      <c r="H367" s="77"/>
      <c r="I367" s="77"/>
    </row>
    <row r="368" spans="1:9" x14ac:dyDescent="0.45">
      <c r="A368" s="77" t="s">
        <v>1308</v>
      </c>
      <c r="B368" s="77"/>
      <c r="C368" s="77"/>
      <c r="D368" s="77"/>
      <c r="E368" s="77"/>
      <c r="F368" s="77" t="s">
        <v>1302</v>
      </c>
      <c r="G368" s="77"/>
      <c r="H368" s="77"/>
      <c r="I368" s="77"/>
    </row>
    <row r="369" spans="1:9" x14ac:dyDescent="0.45">
      <c r="A369" s="77" t="s">
        <v>1309</v>
      </c>
      <c r="B369" s="77"/>
      <c r="C369" s="77"/>
      <c r="D369" s="77"/>
      <c r="E369" s="77"/>
      <c r="F369" s="77" t="s">
        <v>1316</v>
      </c>
      <c r="G369" s="77"/>
      <c r="H369" s="77"/>
      <c r="I369" s="77"/>
    </row>
    <row r="370" spans="1:9" x14ac:dyDescent="0.45">
      <c r="A370" s="77" t="s">
        <v>1310</v>
      </c>
      <c r="B370" s="77"/>
      <c r="C370" s="77"/>
      <c r="D370" s="77"/>
      <c r="E370" s="77"/>
      <c r="F370" s="77" t="s">
        <v>281</v>
      </c>
      <c r="G370" s="77"/>
      <c r="H370" s="77"/>
      <c r="I370" s="77"/>
    </row>
    <row r="371" spans="1:9" x14ac:dyDescent="0.45">
      <c r="A371" s="77" t="s">
        <v>1311</v>
      </c>
      <c r="B371" s="77"/>
      <c r="C371" s="77"/>
      <c r="D371" s="77"/>
      <c r="E371" s="77"/>
      <c r="F371" s="77"/>
      <c r="G371" s="77"/>
      <c r="H371" s="77"/>
      <c r="I371" s="77"/>
    </row>
    <row r="372" spans="1:9" x14ac:dyDescent="0.45">
      <c r="A372" s="77" t="s">
        <v>1312</v>
      </c>
      <c r="B372" s="77"/>
      <c r="C372" s="77"/>
      <c r="D372" s="77"/>
      <c r="E372" s="77"/>
      <c r="F372" s="77"/>
      <c r="G372" s="77"/>
      <c r="H372" s="77"/>
      <c r="I372" s="77"/>
    </row>
    <row r="373" spans="1:9" x14ac:dyDescent="0.45">
      <c r="A373" s="77"/>
      <c r="B373" s="77"/>
      <c r="C373" s="77"/>
      <c r="D373" s="77"/>
      <c r="E373" s="77"/>
      <c r="F373" s="77"/>
      <c r="G373" s="77"/>
      <c r="H373" s="77"/>
      <c r="I373" s="77"/>
    </row>
    <row r="374" spans="1:9" x14ac:dyDescent="0.45">
      <c r="A374" s="77" t="s">
        <v>39</v>
      </c>
      <c r="B374" s="77"/>
      <c r="C374" s="77"/>
      <c r="D374" s="77"/>
      <c r="E374" s="77"/>
      <c r="F374" s="77"/>
      <c r="G374" s="77"/>
      <c r="H374" s="77"/>
      <c r="I374" s="77"/>
    </row>
    <row r="375" spans="1:9" x14ac:dyDescent="0.45">
      <c r="A375" s="77" t="s">
        <v>40</v>
      </c>
      <c r="B375" s="77"/>
      <c r="C375" s="77"/>
      <c r="D375" s="77"/>
      <c r="E375" s="77"/>
      <c r="F375" s="77"/>
      <c r="G375" s="77"/>
      <c r="H375" s="77"/>
      <c r="I375" s="77"/>
    </row>
    <row r="376" spans="1:9" x14ac:dyDescent="0.45">
      <c r="A376" s="77" t="s">
        <v>38</v>
      </c>
      <c r="B376" s="77"/>
      <c r="C376" s="77"/>
      <c r="D376" s="77"/>
      <c r="E376" s="77"/>
      <c r="F376" s="77"/>
      <c r="G376" s="77"/>
      <c r="H376" s="77"/>
      <c r="I376" s="77"/>
    </row>
    <row r="377" spans="1:9" x14ac:dyDescent="0.45">
      <c r="A377" s="77" t="s">
        <v>540</v>
      </c>
      <c r="B377" s="77"/>
      <c r="C377" s="77"/>
      <c r="D377" s="77"/>
      <c r="E377" s="77"/>
      <c r="F377" s="77"/>
      <c r="G377" s="77"/>
      <c r="H377" s="77"/>
      <c r="I377" s="77"/>
    </row>
    <row r="379" spans="1:9" x14ac:dyDescent="0.45">
      <c r="A379" s="78" t="s">
        <v>1210</v>
      </c>
      <c r="B379" s="78"/>
      <c r="C379" s="78"/>
      <c r="D379" s="78"/>
      <c r="E379" s="78"/>
      <c r="F379" s="78" t="s">
        <v>1313</v>
      </c>
      <c r="G379" s="78"/>
      <c r="H379" s="78"/>
      <c r="I379" s="78"/>
    </row>
    <row r="380" spans="1:9" x14ac:dyDescent="0.45">
      <c r="A380" s="78" t="s">
        <v>1317</v>
      </c>
      <c r="B380" s="78"/>
      <c r="C380" s="78"/>
      <c r="D380" s="78"/>
      <c r="E380" s="78"/>
      <c r="F380" s="78" t="s">
        <v>72</v>
      </c>
      <c r="G380" s="78"/>
      <c r="H380" s="78"/>
      <c r="I380" s="78"/>
    </row>
    <row r="381" spans="1:9" x14ac:dyDescent="0.45">
      <c r="A381" s="78" t="s">
        <v>35</v>
      </c>
      <c r="B381" s="78"/>
      <c r="C381" s="78"/>
      <c r="D381" s="78"/>
      <c r="E381" s="78"/>
      <c r="F381" s="78" t="s">
        <v>1325</v>
      </c>
      <c r="G381" s="78"/>
      <c r="H381" s="78"/>
      <c r="I381" s="78"/>
    </row>
    <row r="382" spans="1:9" x14ac:dyDescent="0.45">
      <c r="A382" s="78" t="s">
        <v>36</v>
      </c>
      <c r="B382" s="78"/>
      <c r="C382" s="78"/>
      <c r="D382" s="78"/>
      <c r="E382" s="78"/>
      <c r="F382" s="78" t="s">
        <v>1326</v>
      </c>
      <c r="G382" s="78"/>
      <c r="H382" s="78"/>
      <c r="I382" s="78"/>
    </row>
    <row r="383" spans="1:9" x14ac:dyDescent="0.45">
      <c r="A383" s="78" t="s">
        <v>75</v>
      </c>
      <c r="B383" s="78"/>
      <c r="C383" s="78"/>
      <c r="D383" s="78"/>
      <c r="E383" s="78"/>
      <c r="F383" s="78" t="s">
        <v>1327</v>
      </c>
      <c r="G383" s="78"/>
      <c r="H383" s="78"/>
      <c r="I383" s="78"/>
    </row>
    <row r="384" spans="1:9" x14ac:dyDescent="0.45">
      <c r="A384" s="80" t="s">
        <v>1318</v>
      </c>
      <c r="B384" s="78"/>
      <c r="C384" s="78"/>
      <c r="D384" s="78"/>
      <c r="E384" s="78"/>
      <c r="F384" s="78"/>
      <c r="G384" s="78"/>
      <c r="H384" s="78"/>
      <c r="I384" s="78"/>
    </row>
    <row r="385" spans="1:9" x14ac:dyDescent="0.45">
      <c r="A385" s="80" t="s">
        <v>1319</v>
      </c>
      <c r="B385" s="78"/>
      <c r="C385" s="78"/>
      <c r="D385" s="78"/>
      <c r="E385" s="78"/>
      <c r="F385" s="78" t="s">
        <v>73</v>
      </c>
      <c r="G385" s="78"/>
      <c r="H385" s="78"/>
      <c r="I385" s="78"/>
    </row>
    <row r="386" spans="1:9" x14ac:dyDescent="0.45">
      <c r="A386" s="78" t="s">
        <v>1320</v>
      </c>
      <c r="B386" s="78"/>
      <c r="C386" s="78"/>
      <c r="D386" s="78"/>
      <c r="E386" s="78"/>
      <c r="F386" s="78" t="s">
        <v>1193</v>
      </c>
      <c r="G386" s="78"/>
      <c r="H386" s="78"/>
      <c r="I386" s="78"/>
    </row>
    <row r="387" spans="1:9" x14ac:dyDescent="0.45">
      <c r="A387" s="78" t="s">
        <v>1321</v>
      </c>
      <c r="B387" s="78"/>
      <c r="C387" s="78"/>
      <c r="D387" s="78"/>
      <c r="E387" s="78"/>
      <c r="F387" s="78" t="s">
        <v>1328</v>
      </c>
      <c r="G387" s="78"/>
      <c r="H387" s="78"/>
      <c r="I387" s="78"/>
    </row>
    <row r="388" spans="1:9" x14ac:dyDescent="0.45">
      <c r="A388" s="78" t="s">
        <v>1322</v>
      </c>
      <c r="B388" s="78"/>
      <c r="C388" s="78"/>
      <c r="D388" s="78"/>
      <c r="E388" s="78"/>
      <c r="F388" s="78" t="s">
        <v>281</v>
      </c>
      <c r="G388" s="78"/>
      <c r="H388" s="78"/>
      <c r="I388" s="78"/>
    </row>
    <row r="389" spans="1:9" x14ac:dyDescent="0.45">
      <c r="A389" s="78" t="s">
        <v>1323</v>
      </c>
      <c r="B389" s="78"/>
      <c r="C389" s="78"/>
      <c r="D389" s="78"/>
      <c r="E389" s="78"/>
      <c r="F389" s="78"/>
      <c r="G389" s="78"/>
      <c r="H389" s="78"/>
      <c r="I389" s="78"/>
    </row>
    <row r="390" spans="1:9" x14ac:dyDescent="0.45">
      <c r="A390" s="78" t="s">
        <v>1324</v>
      </c>
      <c r="B390" s="78"/>
      <c r="C390" s="78"/>
      <c r="D390" s="78"/>
      <c r="E390" s="78"/>
      <c r="F390" s="78"/>
      <c r="G390" s="78"/>
      <c r="H390" s="78"/>
      <c r="I390" s="78"/>
    </row>
    <row r="391" spans="1:9" x14ac:dyDescent="0.45">
      <c r="A391" s="78"/>
      <c r="B391" s="78"/>
      <c r="C391" s="78"/>
      <c r="D391" s="78"/>
      <c r="E391" s="78"/>
      <c r="F391" s="78"/>
      <c r="G391" s="78"/>
      <c r="H391" s="78"/>
      <c r="I391" s="78"/>
    </row>
    <row r="392" spans="1:9" x14ac:dyDescent="0.45">
      <c r="A392" s="78" t="s">
        <v>39</v>
      </c>
      <c r="B392" s="78"/>
      <c r="C392" s="78"/>
      <c r="D392" s="78"/>
      <c r="E392" s="78"/>
      <c r="F392" s="78"/>
      <c r="G392" s="78"/>
      <c r="H392" s="78"/>
      <c r="I392" s="78"/>
    </row>
    <row r="393" spans="1:9" x14ac:dyDescent="0.45">
      <c r="A393" s="78" t="s">
        <v>40</v>
      </c>
      <c r="B393" s="78"/>
      <c r="C393" s="78"/>
      <c r="D393" s="78"/>
      <c r="E393" s="78"/>
      <c r="F393" s="78"/>
      <c r="G393" s="78"/>
      <c r="H393" s="78"/>
      <c r="I393" s="78"/>
    </row>
    <row r="394" spans="1:9" x14ac:dyDescent="0.45">
      <c r="A394" s="78" t="s">
        <v>38</v>
      </c>
      <c r="B394" s="78"/>
      <c r="C394" s="78"/>
      <c r="D394" s="78"/>
      <c r="E394" s="78"/>
      <c r="F394" s="78"/>
      <c r="G394" s="78"/>
      <c r="H394" s="78"/>
      <c r="I394" s="78"/>
    </row>
    <row r="395" spans="1:9" x14ac:dyDescent="0.45">
      <c r="A395" s="78" t="s">
        <v>540</v>
      </c>
      <c r="B395" s="78"/>
      <c r="C395" s="78"/>
      <c r="D395" s="78"/>
      <c r="E395" s="78"/>
      <c r="F395" s="78"/>
      <c r="G395" s="78"/>
      <c r="H395" s="78"/>
      <c r="I395" s="78"/>
    </row>
    <row r="397" spans="1:9" x14ac:dyDescent="0.45">
      <c r="A397" s="12" t="s">
        <v>1329</v>
      </c>
    </row>
    <row r="398" spans="1:9" x14ac:dyDescent="0.45">
      <c r="A398" s="77" t="s">
        <v>1330</v>
      </c>
      <c r="B398" s="77"/>
      <c r="C398" s="77"/>
      <c r="D398" s="77"/>
      <c r="E398" s="77"/>
      <c r="F398" s="77" t="s">
        <v>1339</v>
      </c>
      <c r="G398" s="77"/>
      <c r="H398" s="77"/>
      <c r="I398" s="77"/>
    </row>
    <row r="399" spans="1:9" x14ac:dyDescent="0.45">
      <c r="A399" s="77" t="s">
        <v>1331</v>
      </c>
      <c r="B399" s="77"/>
      <c r="C399" s="77"/>
      <c r="D399" s="77"/>
      <c r="E399" s="77"/>
      <c r="F399" s="77" t="s">
        <v>72</v>
      </c>
      <c r="G399" s="77"/>
      <c r="H399" s="77"/>
      <c r="I399" s="77"/>
    </row>
    <row r="400" spans="1:9" x14ac:dyDescent="0.45">
      <c r="A400" s="77" t="s">
        <v>35</v>
      </c>
      <c r="B400" s="77"/>
      <c r="C400" s="77"/>
      <c r="D400" s="77"/>
      <c r="E400" s="77"/>
      <c r="F400" s="77" t="s">
        <v>1340</v>
      </c>
      <c r="G400" s="77"/>
      <c r="H400" s="77"/>
      <c r="I400" s="77"/>
    </row>
    <row r="401" spans="1:9" x14ac:dyDescent="0.45">
      <c r="A401" s="77" t="s">
        <v>36</v>
      </c>
      <c r="B401" s="77"/>
      <c r="C401" s="77"/>
      <c r="D401" s="77"/>
      <c r="E401" s="77"/>
      <c r="F401" s="77" t="s">
        <v>1341</v>
      </c>
      <c r="G401" s="77"/>
      <c r="H401" s="77"/>
      <c r="I401" s="77"/>
    </row>
    <row r="402" spans="1:9" x14ac:dyDescent="0.45">
      <c r="A402" s="77" t="s">
        <v>32</v>
      </c>
      <c r="B402" s="77"/>
      <c r="C402" s="77"/>
      <c r="D402" s="77"/>
      <c r="E402" s="77"/>
      <c r="F402" s="77" t="s">
        <v>1342</v>
      </c>
      <c r="G402" s="77"/>
      <c r="H402" s="77"/>
      <c r="I402" s="77"/>
    </row>
    <row r="403" spans="1:9" x14ac:dyDescent="0.45">
      <c r="A403" s="79" t="s">
        <v>1332</v>
      </c>
      <c r="B403" s="77"/>
      <c r="C403" s="77"/>
      <c r="D403" s="77"/>
      <c r="E403" s="77"/>
      <c r="F403" s="77"/>
      <c r="G403" s="77"/>
      <c r="H403" s="77"/>
      <c r="I403" s="77"/>
    </row>
    <row r="404" spans="1:9" x14ac:dyDescent="0.45">
      <c r="A404" s="79" t="s">
        <v>1333</v>
      </c>
      <c r="B404" s="77"/>
      <c r="C404" s="77"/>
      <c r="D404" s="77"/>
      <c r="E404" s="77"/>
      <c r="F404" s="77" t="s">
        <v>73</v>
      </c>
      <c r="G404" s="77"/>
      <c r="H404" s="77"/>
      <c r="I404" s="77"/>
    </row>
    <row r="405" spans="1:9" x14ac:dyDescent="0.45">
      <c r="A405" s="77" t="s">
        <v>1334</v>
      </c>
      <c r="B405" s="77"/>
      <c r="C405" s="77"/>
      <c r="D405" s="77"/>
      <c r="E405" s="77"/>
      <c r="F405" s="77" t="s">
        <v>1263</v>
      </c>
      <c r="G405" s="77"/>
      <c r="H405" s="77"/>
      <c r="I405" s="77"/>
    </row>
    <row r="406" spans="1:9" x14ac:dyDescent="0.45">
      <c r="A406" s="77" t="s">
        <v>1335</v>
      </c>
      <c r="B406" s="77"/>
      <c r="C406" s="77"/>
      <c r="D406" s="77"/>
      <c r="E406" s="77"/>
      <c r="F406" s="77" t="s">
        <v>1343</v>
      </c>
      <c r="G406" s="77"/>
      <c r="H406" s="77"/>
      <c r="I406" s="77"/>
    </row>
    <row r="407" spans="1:9" x14ac:dyDescent="0.45">
      <c r="A407" s="77" t="s">
        <v>1336</v>
      </c>
      <c r="B407" s="77"/>
      <c r="C407" s="77"/>
      <c r="D407" s="77"/>
      <c r="E407" s="77"/>
      <c r="F407" s="77" t="s">
        <v>552</v>
      </c>
      <c r="G407" s="77"/>
      <c r="H407" s="77"/>
      <c r="I407" s="77"/>
    </row>
    <row r="408" spans="1:9" x14ac:dyDescent="0.45">
      <c r="A408" s="77" t="s">
        <v>1337</v>
      </c>
      <c r="B408" s="77"/>
      <c r="C408" s="77"/>
      <c r="D408" s="77"/>
      <c r="E408" s="77"/>
      <c r="F408" s="77"/>
      <c r="G408" s="77"/>
      <c r="H408" s="77"/>
      <c r="I408" s="77"/>
    </row>
    <row r="409" spans="1:9" x14ac:dyDescent="0.45">
      <c r="A409" s="77" t="s">
        <v>1338</v>
      </c>
      <c r="B409" s="77"/>
      <c r="C409" s="77"/>
      <c r="D409" s="77"/>
      <c r="E409" s="77"/>
      <c r="F409" s="77"/>
      <c r="G409" s="77"/>
      <c r="H409" s="77"/>
      <c r="I409" s="77"/>
    </row>
    <row r="410" spans="1:9" x14ac:dyDescent="0.45">
      <c r="A410" s="77"/>
      <c r="B410" s="77"/>
      <c r="C410" s="77"/>
      <c r="D410" s="77"/>
      <c r="E410" s="77"/>
      <c r="F410" s="77"/>
      <c r="G410" s="77"/>
      <c r="H410" s="77"/>
      <c r="I410" s="77"/>
    </row>
    <row r="411" spans="1:9" x14ac:dyDescent="0.45">
      <c r="A411" s="77" t="s">
        <v>39</v>
      </c>
      <c r="B411" s="77"/>
      <c r="C411" s="77"/>
      <c r="D411" s="77"/>
      <c r="E411" s="77"/>
      <c r="F411" s="77"/>
      <c r="G411" s="77"/>
      <c r="H411" s="77"/>
      <c r="I411" s="77"/>
    </row>
    <row r="412" spans="1:9" x14ac:dyDescent="0.45">
      <c r="A412" s="77" t="s">
        <v>40</v>
      </c>
      <c r="B412" s="77"/>
      <c r="C412" s="77"/>
      <c r="D412" s="77"/>
      <c r="E412" s="77"/>
      <c r="F412" s="77"/>
      <c r="G412" s="77"/>
      <c r="H412" s="77"/>
      <c r="I412" s="77"/>
    </row>
    <row r="413" spans="1:9" x14ac:dyDescent="0.45">
      <c r="A413" s="77" t="s">
        <v>38</v>
      </c>
      <c r="B413" s="77"/>
      <c r="C413" s="77"/>
      <c r="D413" s="77"/>
      <c r="E413" s="77"/>
      <c r="F413" s="77"/>
      <c r="G413" s="77"/>
      <c r="H413" s="77"/>
      <c r="I413" s="77"/>
    </row>
    <row r="414" spans="1:9" x14ac:dyDescent="0.45">
      <c r="A414" s="77" t="s">
        <v>540</v>
      </c>
      <c r="B414" s="77"/>
      <c r="C414" s="77"/>
      <c r="D414" s="77"/>
      <c r="E414" s="77"/>
      <c r="F414" s="77"/>
      <c r="G414" s="77"/>
      <c r="H414" s="77"/>
      <c r="I414" s="77"/>
    </row>
    <row r="416" spans="1:9" x14ac:dyDescent="0.45">
      <c r="A416" s="78" t="s">
        <v>1210</v>
      </c>
      <c r="B416" s="78"/>
      <c r="C416" s="78"/>
      <c r="D416" s="78"/>
      <c r="E416" s="78"/>
      <c r="F416" s="78" t="s">
        <v>1339</v>
      </c>
      <c r="G416" s="78"/>
      <c r="H416" s="78"/>
      <c r="I416" s="78"/>
    </row>
    <row r="417" spans="1:9" x14ac:dyDescent="0.45">
      <c r="A417" s="78" t="s">
        <v>1344</v>
      </c>
      <c r="B417" s="78"/>
      <c r="C417" s="78"/>
      <c r="D417" s="78"/>
      <c r="E417" s="78"/>
      <c r="F417" s="78" t="s">
        <v>72</v>
      </c>
      <c r="G417" s="78"/>
      <c r="H417" s="78"/>
      <c r="I417" s="78"/>
    </row>
    <row r="418" spans="1:9" x14ac:dyDescent="0.45">
      <c r="A418" s="78" t="s">
        <v>35</v>
      </c>
      <c r="B418" s="78"/>
      <c r="C418" s="78"/>
      <c r="D418" s="78"/>
      <c r="E418" s="78"/>
      <c r="F418" s="78" t="s">
        <v>1352</v>
      </c>
      <c r="G418" s="78"/>
      <c r="H418" s="78"/>
      <c r="I418" s="78"/>
    </row>
    <row r="419" spans="1:9" x14ac:dyDescent="0.45">
      <c r="A419" s="78" t="s">
        <v>36</v>
      </c>
      <c r="B419" s="78"/>
      <c r="C419" s="78"/>
      <c r="D419" s="78"/>
      <c r="E419" s="78"/>
      <c r="F419" s="78" t="s">
        <v>1353</v>
      </c>
      <c r="G419" s="78"/>
      <c r="H419" s="78"/>
      <c r="I419" s="78"/>
    </row>
    <row r="420" spans="1:9" x14ac:dyDescent="0.45">
      <c r="A420" s="78" t="s">
        <v>75</v>
      </c>
      <c r="B420" s="78"/>
      <c r="C420" s="78"/>
      <c r="D420" s="78"/>
      <c r="E420" s="78"/>
      <c r="F420" s="78" t="s">
        <v>1354</v>
      </c>
      <c r="G420" s="78"/>
      <c r="H420" s="78"/>
      <c r="I420" s="78"/>
    </row>
    <row r="421" spans="1:9" x14ac:dyDescent="0.45">
      <c r="A421" s="80" t="s">
        <v>1345</v>
      </c>
      <c r="B421" s="78"/>
      <c r="C421" s="78"/>
      <c r="D421" s="78"/>
      <c r="E421" s="78"/>
      <c r="F421" s="78"/>
      <c r="G421" s="78"/>
      <c r="H421" s="78"/>
      <c r="I421" s="78"/>
    </row>
    <row r="422" spans="1:9" x14ac:dyDescent="0.45">
      <c r="A422" s="80" t="s">
        <v>1346</v>
      </c>
      <c r="B422" s="78"/>
      <c r="C422" s="78"/>
      <c r="D422" s="78"/>
      <c r="E422" s="78"/>
      <c r="F422" s="78" t="s">
        <v>73</v>
      </c>
      <c r="G422" s="78"/>
      <c r="H422" s="78"/>
      <c r="I422" s="78"/>
    </row>
    <row r="423" spans="1:9" x14ac:dyDescent="0.45">
      <c r="A423" s="78" t="s">
        <v>1347</v>
      </c>
      <c r="B423" s="78"/>
      <c r="C423" s="78"/>
      <c r="D423" s="78"/>
      <c r="E423" s="78"/>
      <c r="F423" s="78" t="s">
        <v>1193</v>
      </c>
      <c r="G423" s="78"/>
      <c r="H423" s="78"/>
      <c r="I423" s="78"/>
    </row>
    <row r="424" spans="1:9" x14ac:dyDescent="0.45">
      <c r="A424" s="78" t="s">
        <v>1348</v>
      </c>
      <c r="B424" s="78"/>
      <c r="C424" s="78"/>
      <c r="D424" s="78"/>
      <c r="E424" s="78"/>
      <c r="F424" s="78" t="s">
        <v>1355</v>
      </c>
      <c r="G424" s="78"/>
      <c r="H424" s="78"/>
      <c r="I424" s="78"/>
    </row>
    <row r="425" spans="1:9" x14ac:dyDescent="0.45">
      <c r="A425" s="78" t="s">
        <v>1349</v>
      </c>
      <c r="B425" s="78"/>
      <c r="C425" s="78"/>
      <c r="D425" s="78"/>
      <c r="E425" s="78"/>
      <c r="F425" s="78" t="s">
        <v>552</v>
      </c>
      <c r="G425" s="78"/>
      <c r="H425" s="78"/>
      <c r="I425" s="78"/>
    </row>
    <row r="426" spans="1:9" x14ac:dyDescent="0.45">
      <c r="A426" s="78" t="s">
        <v>1350</v>
      </c>
      <c r="B426" s="78"/>
      <c r="C426" s="78"/>
      <c r="D426" s="78"/>
      <c r="E426" s="78"/>
      <c r="F426" s="78"/>
      <c r="G426" s="78"/>
      <c r="H426" s="78"/>
      <c r="I426" s="78"/>
    </row>
    <row r="427" spans="1:9" x14ac:dyDescent="0.45">
      <c r="A427" s="78" t="s">
        <v>1351</v>
      </c>
      <c r="B427" s="78"/>
      <c r="C427" s="78"/>
      <c r="D427" s="78"/>
      <c r="E427" s="78"/>
      <c r="F427" s="78"/>
      <c r="G427" s="78"/>
      <c r="H427" s="78"/>
      <c r="I427" s="78"/>
    </row>
    <row r="428" spans="1:9" x14ac:dyDescent="0.45">
      <c r="A428" s="78"/>
      <c r="B428" s="78"/>
      <c r="C428" s="78"/>
      <c r="D428" s="78"/>
      <c r="E428" s="78"/>
      <c r="F428" s="78"/>
      <c r="G428" s="78"/>
      <c r="H428" s="78"/>
      <c r="I428" s="78"/>
    </row>
    <row r="429" spans="1:9" x14ac:dyDescent="0.45">
      <c r="A429" s="78" t="s">
        <v>39</v>
      </c>
      <c r="B429" s="78"/>
      <c r="C429" s="78"/>
      <c r="D429" s="78"/>
      <c r="E429" s="78"/>
      <c r="F429" s="78"/>
      <c r="G429" s="78"/>
      <c r="H429" s="78"/>
      <c r="I429" s="78"/>
    </row>
    <row r="430" spans="1:9" x14ac:dyDescent="0.45">
      <c r="A430" s="78" t="s">
        <v>40</v>
      </c>
      <c r="B430" s="78"/>
      <c r="C430" s="78"/>
      <c r="D430" s="78"/>
      <c r="E430" s="78"/>
      <c r="F430" s="78"/>
      <c r="G430" s="78"/>
      <c r="H430" s="78"/>
      <c r="I430" s="78"/>
    </row>
    <row r="431" spans="1:9" x14ac:dyDescent="0.45">
      <c r="A431" s="78" t="s">
        <v>38</v>
      </c>
      <c r="B431" s="78"/>
      <c r="C431" s="78"/>
      <c r="D431" s="78"/>
      <c r="E431" s="78"/>
      <c r="F431" s="78"/>
      <c r="G431" s="78"/>
      <c r="H431" s="78"/>
      <c r="I431" s="78"/>
    </row>
    <row r="432" spans="1:9" x14ac:dyDescent="0.45">
      <c r="A432" s="78" t="s">
        <v>540</v>
      </c>
      <c r="B432" s="78"/>
      <c r="C432" s="78"/>
      <c r="D432" s="78"/>
      <c r="E432" s="78"/>
      <c r="F432" s="78"/>
      <c r="G432" s="78"/>
      <c r="H432" s="78"/>
      <c r="I432" s="78"/>
    </row>
    <row r="434" spans="1:9" x14ac:dyDescent="0.45">
      <c r="A434" s="12" t="s">
        <v>1356</v>
      </c>
    </row>
    <row r="435" spans="1:9" x14ac:dyDescent="0.45">
      <c r="A435" s="77" t="s">
        <v>1330</v>
      </c>
      <c r="B435" s="77"/>
      <c r="C435" s="77"/>
      <c r="D435" s="77"/>
      <c r="E435" s="77"/>
      <c r="F435" s="77" t="s">
        <v>1365</v>
      </c>
      <c r="G435" s="77"/>
      <c r="H435" s="77"/>
      <c r="I435" s="77"/>
    </row>
    <row r="436" spans="1:9" x14ac:dyDescent="0.45">
      <c r="A436" s="77" t="s">
        <v>1357</v>
      </c>
      <c r="B436" s="77"/>
      <c r="C436" s="77"/>
      <c r="D436" s="77"/>
      <c r="E436" s="77"/>
      <c r="F436" s="77" t="s">
        <v>72</v>
      </c>
      <c r="G436" s="77"/>
      <c r="H436" s="77"/>
      <c r="I436" s="77"/>
    </row>
    <row r="437" spans="1:9" x14ac:dyDescent="0.45">
      <c r="A437" s="77" t="s">
        <v>35</v>
      </c>
      <c r="B437" s="77"/>
      <c r="C437" s="77"/>
      <c r="D437" s="77"/>
      <c r="E437" s="77"/>
      <c r="F437" s="77" t="s">
        <v>1366</v>
      </c>
      <c r="G437" s="77"/>
      <c r="H437" s="77"/>
      <c r="I437" s="77"/>
    </row>
    <row r="438" spans="1:9" x14ac:dyDescent="0.45">
      <c r="A438" s="77" t="s">
        <v>36</v>
      </c>
      <c r="B438" s="77"/>
      <c r="C438" s="77"/>
      <c r="D438" s="77"/>
      <c r="E438" s="77"/>
      <c r="F438" s="77" t="s">
        <v>1367</v>
      </c>
      <c r="G438" s="77"/>
      <c r="H438" s="77"/>
      <c r="I438" s="77"/>
    </row>
    <row r="439" spans="1:9" x14ac:dyDescent="0.45">
      <c r="A439" s="77" t="s">
        <v>32</v>
      </c>
      <c r="B439" s="77"/>
      <c r="C439" s="77"/>
      <c r="D439" s="77"/>
      <c r="E439" s="77"/>
      <c r="F439" s="77" t="s">
        <v>1368</v>
      </c>
      <c r="G439" s="77"/>
      <c r="H439" s="77"/>
      <c r="I439" s="77"/>
    </row>
    <row r="440" spans="1:9" x14ac:dyDescent="0.45">
      <c r="A440" s="79" t="s">
        <v>1358</v>
      </c>
      <c r="B440" s="77"/>
      <c r="C440" s="77"/>
      <c r="D440" s="77"/>
      <c r="E440" s="77"/>
      <c r="F440" s="77"/>
      <c r="G440" s="77"/>
      <c r="H440" s="77"/>
      <c r="I440" s="77"/>
    </row>
    <row r="441" spans="1:9" x14ac:dyDescent="0.45">
      <c r="A441" s="79" t="s">
        <v>1359</v>
      </c>
      <c r="B441" s="77"/>
      <c r="C441" s="77"/>
      <c r="D441" s="77"/>
      <c r="E441" s="77"/>
      <c r="F441" s="77" t="s">
        <v>73</v>
      </c>
      <c r="G441" s="77"/>
      <c r="H441" s="77"/>
      <c r="I441" s="77"/>
    </row>
    <row r="442" spans="1:9" x14ac:dyDescent="0.45">
      <c r="A442" s="77" t="s">
        <v>1360</v>
      </c>
      <c r="B442" s="77"/>
      <c r="C442" s="77"/>
      <c r="D442" s="77"/>
      <c r="E442" s="77"/>
      <c r="F442" s="77" t="s">
        <v>74</v>
      </c>
      <c r="G442" s="77"/>
      <c r="H442" s="77"/>
      <c r="I442" s="77"/>
    </row>
    <row r="443" spans="1:9" x14ac:dyDescent="0.45">
      <c r="A443" s="77" t="s">
        <v>1361</v>
      </c>
      <c r="B443" s="77"/>
      <c r="C443" s="77"/>
      <c r="D443" s="77"/>
      <c r="E443" s="77"/>
      <c r="F443" s="77" t="s">
        <v>1369</v>
      </c>
      <c r="G443" s="77"/>
      <c r="H443" s="77"/>
      <c r="I443" s="77"/>
    </row>
    <row r="444" spans="1:9" x14ac:dyDescent="0.45">
      <c r="A444" s="77" t="s">
        <v>1362</v>
      </c>
      <c r="B444" s="77"/>
      <c r="C444" s="77"/>
      <c r="D444" s="77"/>
      <c r="E444" s="77"/>
      <c r="F444" s="77" t="s">
        <v>556</v>
      </c>
      <c r="G444" s="77"/>
      <c r="H444" s="77"/>
      <c r="I444" s="77"/>
    </row>
    <row r="445" spans="1:9" x14ac:dyDescent="0.45">
      <c r="A445" s="77" t="s">
        <v>1363</v>
      </c>
      <c r="B445" s="77"/>
      <c r="C445" s="77"/>
      <c r="D445" s="77"/>
      <c r="E445" s="77"/>
      <c r="F445" s="77"/>
      <c r="G445" s="77"/>
      <c r="H445" s="77"/>
      <c r="I445" s="77"/>
    </row>
    <row r="446" spans="1:9" x14ac:dyDescent="0.45">
      <c r="A446" s="77" t="s">
        <v>1364</v>
      </c>
      <c r="B446" s="77"/>
      <c r="C446" s="77"/>
      <c r="D446" s="77"/>
      <c r="E446" s="77"/>
      <c r="F446" s="77"/>
      <c r="G446" s="77"/>
      <c r="H446" s="77"/>
      <c r="I446" s="77"/>
    </row>
    <row r="447" spans="1:9" x14ac:dyDescent="0.45">
      <c r="A447" s="77"/>
      <c r="B447" s="77"/>
      <c r="C447" s="77"/>
      <c r="D447" s="77"/>
      <c r="E447" s="77"/>
      <c r="F447" s="77"/>
      <c r="G447" s="77"/>
      <c r="H447" s="77"/>
      <c r="I447" s="77"/>
    </row>
    <row r="448" spans="1:9" x14ac:dyDescent="0.45">
      <c r="A448" s="77" t="s">
        <v>39</v>
      </c>
      <c r="B448" s="77"/>
      <c r="C448" s="77"/>
      <c r="D448" s="77"/>
      <c r="E448" s="77"/>
      <c r="F448" s="77"/>
      <c r="G448" s="77"/>
      <c r="H448" s="77"/>
      <c r="I448" s="77"/>
    </row>
    <row r="449" spans="1:9" x14ac:dyDescent="0.45">
      <c r="A449" s="77" t="s">
        <v>40</v>
      </c>
      <c r="B449" s="77"/>
      <c r="C449" s="77"/>
      <c r="D449" s="77"/>
      <c r="E449" s="77"/>
      <c r="F449" s="77"/>
      <c r="G449" s="77"/>
      <c r="H449" s="77"/>
      <c r="I449" s="77"/>
    </row>
    <row r="450" spans="1:9" x14ac:dyDescent="0.45">
      <c r="A450" s="77" t="s">
        <v>38</v>
      </c>
      <c r="B450" s="77"/>
      <c r="C450" s="77"/>
      <c r="D450" s="77"/>
      <c r="E450" s="77"/>
      <c r="F450" s="77"/>
      <c r="G450" s="77"/>
      <c r="H450" s="77"/>
      <c r="I450" s="77"/>
    </row>
    <row r="451" spans="1:9" x14ac:dyDescent="0.45">
      <c r="A451" s="77" t="s">
        <v>540</v>
      </c>
      <c r="B451" s="77"/>
      <c r="C451" s="77"/>
      <c r="D451" s="77"/>
      <c r="E451" s="77"/>
      <c r="F451" s="77"/>
      <c r="G451" s="77"/>
      <c r="H451" s="77"/>
      <c r="I451" s="77"/>
    </row>
    <row r="453" spans="1:9" x14ac:dyDescent="0.45">
      <c r="A453" s="78" t="s">
        <v>1210</v>
      </c>
      <c r="B453" s="78"/>
      <c r="C453" s="78"/>
      <c r="D453" s="78"/>
      <c r="E453" s="78"/>
      <c r="F453" s="78" t="s">
        <v>1365</v>
      </c>
      <c r="G453" s="78"/>
      <c r="H453" s="78"/>
      <c r="I453" s="78"/>
    </row>
    <row r="454" spans="1:9" x14ac:dyDescent="0.45">
      <c r="A454" s="78" t="s">
        <v>1370</v>
      </c>
      <c r="B454" s="78"/>
      <c r="C454" s="78"/>
      <c r="D454" s="78"/>
      <c r="E454" s="78"/>
      <c r="F454" s="78" t="s">
        <v>72</v>
      </c>
      <c r="G454" s="78"/>
      <c r="H454" s="78"/>
      <c r="I454" s="78"/>
    </row>
    <row r="455" spans="1:9" x14ac:dyDescent="0.45">
      <c r="A455" s="78" t="s">
        <v>35</v>
      </c>
      <c r="B455" s="78"/>
      <c r="C455" s="78"/>
      <c r="D455" s="78"/>
      <c r="E455" s="78"/>
      <c r="F455" s="78" t="s">
        <v>1378</v>
      </c>
      <c r="G455" s="78"/>
      <c r="H455" s="78"/>
      <c r="I455" s="78"/>
    </row>
    <row r="456" spans="1:9" x14ac:dyDescent="0.45">
      <c r="A456" s="78" t="s">
        <v>36</v>
      </c>
      <c r="B456" s="78"/>
      <c r="C456" s="78"/>
      <c r="D456" s="78"/>
      <c r="E456" s="78"/>
      <c r="F456" s="78" t="s">
        <v>1379</v>
      </c>
      <c r="G456" s="78"/>
      <c r="H456" s="78"/>
      <c r="I456" s="78"/>
    </row>
    <row r="457" spans="1:9" x14ac:dyDescent="0.45">
      <c r="A457" s="78" t="s">
        <v>75</v>
      </c>
      <c r="B457" s="78"/>
      <c r="C457" s="78"/>
      <c r="D457" s="78"/>
      <c r="E457" s="78"/>
      <c r="F457" s="78" t="s">
        <v>1380</v>
      </c>
      <c r="G457" s="78"/>
      <c r="H457" s="78"/>
      <c r="I457" s="78"/>
    </row>
    <row r="458" spans="1:9" x14ac:dyDescent="0.45">
      <c r="A458" s="80" t="s">
        <v>1371</v>
      </c>
      <c r="B458" s="78"/>
      <c r="C458" s="78"/>
      <c r="D458" s="78"/>
      <c r="E458" s="78"/>
      <c r="F458" s="78"/>
      <c r="G458" s="78"/>
      <c r="H458" s="78"/>
      <c r="I458" s="78"/>
    </row>
    <row r="459" spans="1:9" x14ac:dyDescent="0.45">
      <c r="A459" s="80" t="s">
        <v>1372</v>
      </c>
      <c r="B459" s="78"/>
      <c r="C459" s="78"/>
      <c r="D459" s="78"/>
      <c r="E459" s="78"/>
      <c r="F459" s="78" t="s">
        <v>73</v>
      </c>
      <c r="G459" s="78"/>
      <c r="H459" s="78"/>
      <c r="I459" s="78"/>
    </row>
    <row r="460" spans="1:9" x14ac:dyDescent="0.45">
      <c r="A460" s="78" t="s">
        <v>1373</v>
      </c>
      <c r="B460" s="78"/>
      <c r="C460" s="78"/>
      <c r="D460" s="78"/>
      <c r="E460" s="78"/>
      <c r="F460" s="78" t="s">
        <v>1193</v>
      </c>
      <c r="G460" s="78"/>
      <c r="H460" s="78"/>
      <c r="I460" s="78"/>
    </row>
    <row r="461" spans="1:9" x14ac:dyDescent="0.45">
      <c r="A461" s="78" t="s">
        <v>1374</v>
      </c>
      <c r="B461" s="78"/>
      <c r="C461" s="78"/>
      <c r="D461" s="78"/>
      <c r="E461" s="78"/>
      <c r="F461" s="78" t="s">
        <v>1381</v>
      </c>
      <c r="G461" s="78"/>
      <c r="H461" s="78"/>
      <c r="I461" s="78"/>
    </row>
    <row r="462" spans="1:9" x14ac:dyDescent="0.45">
      <c r="A462" s="78" t="s">
        <v>1375</v>
      </c>
      <c r="B462" s="78"/>
      <c r="C462" s="78"/>
      <c r="D462" s="78"/>
      <c r="E462" s="78"/>
      <c r="F462" s="78" t="s">
        <v>556</v>
      </c>
      <c r="G462" s="78"/>
      <c r="H462" s="78"/>
      <c r="I462" s="78"/>
    </row>
    <row r="463" spans="1:9" x14ac:dyDescent="0.45">
      <c r="A463" s="78" t="s">
        <v>1376</v>
      </c>
      <c r="B463" s="78"/>
      <c r="C463" s="78"/>
      <c r="D463" s="78"/>
      <c r="E463" s="78"/>
      <c r="F463" s="78"/>
      <c r="G463" s="78"/>
      <c r="H463" s="78"/>
      <c r="I463" s="78"/>
    </row>
    <row r="464" spans="1:9" x14ac:dyDescent="0.45">
      <c r="A464" s="78" t="s">
        <v>1377</v>
      </c>
      <c r="B464" s="78"/>
      <c r="C464" s="78"/>
      <c r="D464" s="78"/>
      <c r="E464" s="78"/>
      <c r="F464" s="78"/>
      <c r="G464" s="78"/>
      <c r="H464" s="78"/>
      <c r="I464" s="78"/>
    </row>
    <row r="465" spans="1:9" x14ac:dyDescent="0.45">
      <c r="A465" s="78"/>
      <c r="B465" s="78"/>
      <c r="C465" s="78"/>
      <c r="D465" s="78"/>
      <c r="E465" s="78"/>
      <c r="F465" s="78"/>
      <c r="G465" s="78"/>
      <c r="H465" s="78"/>
      <c r="I465" s="78"/>
    </row>
    <row r="466" spans="1:9" x14ac:dyDescent="0.45">
      <c r="A466" s="78" t="s">
        <v>39</v>
      </c>
      <c r="B466" s="78"/>
      <c r="C466" s="78"/>
      <c r="D466" s="78"/>
      <c r="E466" s="78"/>
      <c r="F466" s="78"/>
      <c r="G466" s="78"/>
      <c r="H466" s="78"/>
      <c r="I466" s="78"/>
    </row>
    <row r="467" spans="1:9" x14ac:dyDescent="0.45">
      <c r="A467" s="78" t="s">
        <v>40</v>
      </c>
      <c r="B467" s="78"/>
      <c r="C467" s="78"/>
      <c r="D467" s="78"/>
      <c r="E467" s="78"/>
      <c r="F467" s="78"/>
      <c r="G467" s="78"/>
      <c r="H467" s="78"/>
      <c r="I467" s="78"/>
    </row>
    <row r="468" spans="1:9" x14ac:dyDescent="0.45">
      <c r="A468" s="78" t="s">
        <v>38</v>
      </c>
      <c r="B468" s="78"/>
      <c r="C468" s="78"/>
      <c r="D468" s="78"/>
      <c r="E468" s="78"/>
      <c r="F468" s="78"/>
      <c r="G468" s="78"/>
      <c r="H468" s="78"/>
      <c r="I468" s="78"/>
    </row>
    <row r="469" spans="1:9" x14ac:dyDescent="0.45">
      <c r="A469" s="78" t="s">
        <v>540</v>
      </c>
      <c r="B469" s="78"/>
      <c r="C469" s="78"/>
      <c r="D469" s="78"/>
      <c r="E469" s="78"/>
      <c r="F469" s="78"/>
      <c r="G469" s="78"/>
      <c r="H469" s="78"/>
      <c r="I469" s="78"/>
    </row>
    <row r="471" spans="1:9" x14ac:dyDescent="0.45">
      <c r="A471" s="12" t="s">
        <v>1382</v>
      </c>
    </row>
    <row r="472" spans="1:9" x14ac:dyDescent="0.45">
      <c r="A472" s="77" t="s">
        <v>1330</v>
      </c>
      <c r="B472" s="77"/>
      <c r="C472" s="77"/>
      <c r="D472" s="77"/>
      <c r="E472" s="77"/>
      <c r="F472" s="77" t="s">
        <v>1391</v>
      </c>
      <c r="G472" s="77"/>
      <c r="H472" s="77"/>
      <c r="I472" s="77"/>
    </row>
    <row r="473" spans="1:9" x14ac:dyDescent="0.45">
      <c r="A473" s="77" t="s">
        <v>1383</v>
      </c>
      <c r="B473" s="77"/>
      <c r="C473" s="77"/>
      <c r="D473" s="77"/>
      <c r="E473" s="77"/>
      <c r="F473" s="77" t="s">
        <v>72</v>
      </c>
      <c r="G473" s="77"/>
      <c r="H473" s="77"/>
      <c r="I473" s="77"/>
    </row>
    <row r="474" spans="1:9" x14ac:dyDescent="0.45">
      <c r="A474" s="77" t="s">
        <v>35</v>
      </c>
      <c r="B474" s="77"/>
      <c r="C474" s="77"/>
      <c r="D474" s="77"/>
      <c r="E474" s="77"/>
      <c r="F474" s="77" t="s">
        <v>1392</v>
      </c>
      <c r="G474" s="77"/>
      <c r="H474" s="77"/>
      <c r="I474" s="77"/>
    </row>
    <row r="475" spans="1:9" x14ac:dyDescent="0.45">
      <c r="A475" s="77" t="s">
        <v>36</v>
      </c>
      <c r="B475" s="77"/>
      <c r="C475" s="77"/>
      <c r="D475" s="77"/>
      <c r="E475" s="77"/>
      <c r="F475" s="77" t="s">
        <v>1393</v>
      </c>
      <c r="G475" s="77"/>
      <c r="H475" s="77"/>
      <c r="I475" s="77"/>
    </row>
    <row r="476" spans="1:9" x14ac:dyDescent="0.45">
      <c r="A476" s="77" t="s">
        <v>32</v>
      </c>
      <c r="B476" s="77"/>
      <c r="C476" s="77"/>
      <c r="D476" s="77"/>
      <c r="E476" s="77"/>
      <c r="F476" s="77" t="s">
        <v>1394</v>
      </c>
      <c r="G476" s="77"/>
      <c r="H476" s="77"/>
      <c r="I476" s="77"/>
    </row>
    <row r="477" spans="1:9" x14ac:dyDescent="0.45">
      <c r="A477" s="79" t="s">
        <v>1384</v>
      </c>
      <c r="B477" s="77"/>
      <c r="C477" s="77"/>
      <c r="D477" s="77"/>
      <c r="E477" s="77"/>
      <c r="F477" s="77"/>
      <c r="G477" s="77"/>
      <c r="H477" s="77"/>
      <c r="I477" s="77"/>
    </row>
    <row r="478" spans="1:9" x14ac:dyDescent="0.45">
      <c r="A478" s="79" t="s">
        <v>1385</v>
      </c>
      <c r="B478" s="77"/>
      <c r="C478" s="77"/>
      <c r="D478" s="77"/>
      <c r="E478" s="77"/>
      <c r="F478" s="77" t="s">
        <v>73</v>
      </c>
      <c r="G478" s="77"/>
      <c r="H478" s="77"/>
      <c r="I478" s="77"/>
    </row>
    <row r="479" spans="1:9" x14ac:dyDescent="0.45">
      <c r="A479" s="77" t="s">
        <v>1386</v>
      </c>
      <c r="B479" s="77"/>
      <c r="C479" s="77"/>
      <c r="D479" s="77"/>
      <c r="E479" s="77"/>
      <c r="F479" s="77" t="s">
        <v>1263</v>
      </c>
      <c r="G479" s="77"/>
      <c r="H479" s="77"/>
      <c r="I479" s="77"/>
    </row>
    <row r="480" spans="1:9" x14ac:dyDescent="0.45">
      <c r="A480" s="77" t="s">
        <v>1387</v>
      </c>
      <c r="B480" s="77"/>
      <c r="C480" s="77"/>
      <c r="D480" s="77"/>
      <c r="E480" s="77"/>
      <c r="F480" s="77" t="s">
        <v>1395</v>
      </c>
      <c r="G480" s="77"/>
      <c r="H480" s="77"/>
      <c r="I480" s="77"/>
    </row>
    <row r="481" spans="1:9" x14ac:dyDescent="0.45">
      <c r="A481" s="77" t="s">
        <v>1388</v>
      </c>
      <c r="B481" s="77"/>
      <c r="C481" s="77"/>
      <c r="D481" s="77"/>
      <c r="E481" s="77"/>
      <c r="F481" s="77" t="s">
        <v>560</v>
      </c>
      <c r="G481" s="77"/>
      <c r="H481" s="77"/>
      <c r="I481" s="77"/>
    </row>
    <row r="482" spans="1:9" x14ac:dyDescent="0.45">
      <c r="A482" s="77" t="s">
        <v>1389</v>
      </c>
      <c r="B482" s="77"/>
      <c r="C482" s="77"/>
      <c r="D482" s="77"/>
      <c r="E482" s="77"/>
      <c r="F482" s="77"/>
      <c r="G482" s="77"/>
      <c r="H482" s="77"/>
      <c r="I482" s="77"/>
    </row>
    <row r="483" spans="1:9" x14ac:dyDescent="0.45">
      <c r="A483" s="77" t="s">
        <v>1390</v>
      </c>
      <c r="B483" s="77"/>
      <c r="C483" s="77"/>
      <c r="D483" s="77"/>
      <c r="E483" s="77"/>
      <c r="F483" s="77"/>
      <c r="G483" s="77"/>
      <c r="H483" s="77"/>
      <c r="I483" s="77"/>
    </row>
    <row r="484" spans="1:9" x14ac:dyDescent="0.45">
      <c r="A484" s="77"/>
      <c r="B484" s="77"/>
      <c r="C484" s="77"/>
      <c r="D484" s="77"/>
      <c r="E484" s="77"/>
      <c r="F484" s="77"/>
      <c r="G484" s="77"/>
      <c r="H484" s="77"/>
      <c r="I484" s="77"/>
    </row>
    <row r="485" spans="1:9" x14ac:dyDescent="0.45">
      <c r="A485" s="77" t="s">
        <v>39</v>
      </c>
      <c r="B485" s="77"/>
      <c r="C485" s="77"/>
      <c r="D485" s="77"/>
      <c r="E485" s="77"/>
      <c r="F485" s="77"/>
      <c r="G485" s="77"/>
      <c r="H485" s="77"/>
      <c r="I485" s="77"/>
    </row>
    <row r="486" spans="1:9" x14ac:dyDescent="0.45">
      <c r="A486" s="77" t="s">
        <v>40</v>
      </c>
      <c r="B486" s="77"/>
      <c r="C486" s="77"/>
      <c r="D486" s="77"/>
      <c r="E486" s="77"/>
      <c r="F486" s="77"/>
      <c r="G486" s="77"/>
      <c r="H486" s="77"/>
      <c r="I486" s="77"/>
    </row>
    <row r="487" spans="1:9" x14ac:dyDescent="0.45">
      <c r="A487" s="77" t="s">
        <v>38</v>
      </c>
      <c r="B487" s="77"/>
      <c r="C487" s="77"/>
      <c r="D487" s="77"/>
      <c r="E487" s="77"/>
      <c r="F487" s="77"/>
      <c r="G487" s="77"/>
      <c r="H487" s="77"/>
      <c r="I487" s="77"/>
    </row>
    <row r="488" spans="1:9" x14ac:dyDescent="0.45">
      <c r="A488" s="77" t="s">
        <v>540</v>
      </c>
      <c r="B488" s="77"/>
      <c r="C488" s="77"/>
      <c r="D488" s="77"/>
      <c r="E488" s="77"/>
      <c r="F488" s="77"/>
      <c r="G488" s="77"/>
      <c r="H488" s="77"/>
      <c r="I488" s="77"/>
    </row>
    <row r="490" spans="1:9" x14ac:dyDescent="0.45">
      <c r="A490" s="78" t="s">
        <v>1210</v>
      </c>
      <c r="B490" s="78"/>
      <c r="C490" s="78"/>
      <c r="D490" s="78"/>
      <c r="E490" s="78"/>
      <c r="F490" s="78" t="s">
        <v>1391</v>
      </c>
      <c r="G490" s="78"/>
      <c r="H490" s="78"/>
      <c r="I490" s="78"/>
    </row>
    <row r="491" spans="1:9" x14ac:dyDescent="0.45">
      <c r="A491" s="78" t="s">
        <v>1396</v>
      </c>
      <c r="B491" s="78"/>
      <c r="C491" s="78"/>
      <c r="D491" s="78"/>
      <c r="E491" s="78"/>
      <c r="F491" s="78" t="s">
        <v>72</v>
      </c>
      <c r="G491" s="78"/>
      <c r="H491" s="78"/>
      <c r="I491" s="78"/>
    </row>
    <row r="492" spans="1:9" x14ac:dyDescent="0.45">
      <c r="A492" s="78" t="s">
        <v>35</v>
      </c>
      <c r="B492" s="78"/>
      <c r="C492" s="78"/>
      <c r="D492" s="78"/>
      <c r="E492" s="78"/>
      <c r="F492" s="78" t="s">
        <v>1405</v>
      </c>
      <c r="G492" s="78"/>
      <c r="H492" s="78"/>
      <c r="I492" s="78"/>
    </row>
    <row r="493" spans="1:9" x14ac:dyDescent="0.45">
      <c r="A493" s="78" t="s">
        <v>36</v>
      </c>
      <c r="B493" s="78"/>
      <c r="C493" s="78"/>
      <c r="D493" s="78"/>
      <c r="E493" s="78"/>
      <c r="F493" s="78" t="s">
        <v>1406</v>
      </c>
      <c r="G493" s="78"/>
      <c r="H493" s="78"/>
      <c r="I493" s="78"/>
    </row>
    <row r="494" spans="1:9" x14ac:dyDescent="0.45">
      <c r="A494" s="78" t="s">
        <v>75</v>
      </c>
      <c r="B494" s="78"/>
      <c r="C494" s="78"/>
      <c r="D494" s="78"/>
      <c r="E494" s="78"/>
      <c r="F494" s="78" t="s">
        <v>1407</v>
      </c>
      <c r="G494" s="78"/>
      <c r="H494" s="78"/>
      <c r="I494" s="78"/>
    </row>
    <row r="495" spans="1:9" x14ac:dyDescent="0.45">
      <c r="A495" s="80" t="s">
        <v>1397</v>
      </c>
      <c r="B495" s="78"/>
      <c r="C495" s="78"/>
      <c r="D495" s="78"/>
      <c r="E495" s="78"/>
      <c r="F495" s="78"/>
      <c r="G495" s="78"/>
      <c r="H495" s="78"/>
      <c r="I495" s="78"/>
    </row>
    <row r="496" spans="1:9" x14ac:dyDescent="0.45">
      <c r="A496" s="80" t="s">
        <v>1398</v>
      </c>
      <c r="B496" s="78"/>
      <c r="C496" s="78"/>
      <c r="D496" s="78"/>
      <c r="E496" s="78"/>
      <c r="F496" s="78" t="s">
        <v>73</v>
      </c>
      <c r="G496" s="78"/>
      <c r="H496" s="78"/>
      <c r="I496" s="78"/>
    </row>
    <row r="497" spans="1:9" x14ac:dyDescent="0.45">
      <c r="A497" s="78" t="s">
        <v>1399</v>
      </c>
      <c r="B497" s="78"/>
      <c r="C497" s="78"/>
      <c r="D497" s="78"/>
      <c r="E497" s="78"/>
      <c r="F497" s="78" t="s">
        <v>1193</v>
      </c>
      <c r="G497" s="78"/>
      <c r="H497" s="78"/>
      <c r="I497" s="78"/>
    </row>
    <row r="498" spans="1:9" x14ac:dyDescent="0.45">
      <c r="A498" s="78" t="s">
        <v>1400</v>
      </c>
      <c r="B498" s="78"/>
      <c r="C498" s="78"/>
      <c r="D498" s="78"/>
      <c r="E498" s="78"/>
      <c r="F498" s="78" t="s">
        <v>1408</v>
      </c>
      <c r="G498" s="78"/>
      <c r="H498" s="78"/>
      <c r="I498" s="78"/>
    </row>
    <row r="499" spans="1:9" x14ac:dyDescent="0.45">
      <c r="A499" s="78" t="s">
        <v>1401</v>
      </c>
      <c r="B499" s="78"/>
      <c r="C499" s="78"/>
      <c r="D499" s="78"/>
      <c r="E499" s="78"/>
      <c r="F499" s="78" t="s">
        <v>560</v>
      </c>
      <c r="G499" s="78"/>
      <c r="H499" s="78"/>
      <c r="I499" s="78"/>
    </row>
    <row r="500" spans="1:9" x14ac:dyDescent="0.45">
      <c r="A500" s="78" t="s">
        <v>1402</v>
      </c>
      <c r="B500" s="78"/>
      <c r="C500" s="78"/>
      <c r="D500" s="78"/>
      <c r="E500" s="78"/>
      <c r="F500" s="78"/>
      <c r="G500" s="78"/>
      <c r="H500" s="78"/>
      <c r="I500" s="78"/>
    </row>
    <row r="501" spans="1:9" x14ac:dyDescent="0.45">
      <c r="A501" s="78" t="s">
        <v>1403</v>
      </c>
      <c r="B501" s="78"/>
      <c r="C501" s="78"/>
      <c r="D501" s="78"/>
      <c r="E501" s="78"/>
      <c r="F501" s="78"/>
      <c r="G501" s="78"/>
      <c r="H501" s="78"/>
      <c r="I501" s="78"/>
    </row>
    <row r="502" spans="1:9" x14ac:dyDescent="0.45">
      <c r="A502" s="78"/>
      <c r="B502" s="78"/>
      <c r="C502" s="78"/>
      <c r="D502" s="78"/>
      <c r="E502" s="78"/>
      <c r="F502" s="78"/>
      <c r="G502" s="78"/>
      <c r="H502" s="78"/>
      <c r="I502" s="78"/>
    </row>
    <row r="503" spans="1:9" x14ac:dyDescent="0.45">
      <c r="A503" s="78" t="s">
        <v>39</v>
      </c>
      <c r="B503" s="78"/>
      <c r="C503" s="78"/>
      <c r="D503" s="78"/>
      <c r="E503" s="78"/>
      <c r="F503" s="78"/>
      <c r="G503" s="78"/>
      <c r="H503" s="78"/>
      <c r="I503" s="78"/>
    </row>
    <row r="504" spans="1:9" x14ac:dyDescent="0.45">
      <c r="A504" s="78" t="s">
        <v>1404</v>
      </c>
      <c r="B504" s="78"/>
      <c r="C504" s="78"/>
      <c r="D504" s="78"/>
      <c r="E504" s="78"/>
      <c r="F504" s="78"/>
      <c r="G504" s="78"/>
      <c r="H504" s="78"/>
      <c r="I504" s="78"/>
    </row>
    <row r="505" spans="1:9" x14ac:dyDescent="0.45">
      <c r="A505" s="78" t="s">
        <v>38</v>
      </c>
      <c r="B505" s="78"/>
      <c r="C505" s="78"/>
      <c r="D505" s="78"/>
      <c r="E505" s="78"/>
      <c r="F505" s="78"/>
      <c r="G505" s="78"/>
      <c r="H505" s="78"/>
      <c r="I505" s="78"/>
    </row>
    <row r="506" spans="1:9" x14ac:dyDescent="0.45">
      <c r="A506" s="78" t="s">
        <v>540</v>
      </c>
      <c r="B506" s="78"/>
      <c r="C506" s="78"/>
      <c r="D506" s="78"/>
      <c r="E506" s="78"/>
      <c r="F506" s="78"/>
      <c r="G506" s="78"/>
      <c r="H506" s="78"/>
      <c r="I506" s="78"/>
    </row>
    <row r="508" spans="1:9" x14ac:dyDescent="0.45">
      <c r="A508" s="12" t="s">
        <v>1409</v>
      </c>
    </row>
    <row r="509" spans="1:9" x14ac:dyDescent="0.45">
      <c r="A509" s="77" t="s">
        <v>1410</v>
      </c>
      <c r="B509" s="77"/>
      <c r="C509" s="77"/>
      <c r="D509" s="77"/>
      <c r="E509" s="77"/>
      <c r="F509" s="77" t="s">
        <v>1419</v>
      </c>
      <c r="G509" s="77"/>
      <c r="H509" s="77"/>
      <c r="I509" s="77"/>
    </row>
    <row r="510" spans="1:9" x14ac:dyDescent="0.45">
      <c r="A510" s="77" t="s">
        <v>1411</v>
      </c>
      <c r="B510" s="77"/>
      <c r="C510" s="77"/>
      <c r="D510" s="77"/>
      <c r="E510" s="77"/>
      <c r="F510" s="77" t="s">
        <v>72</v>
      </c>
      <c r="G510" s="77"/>
      <c r="H510" s="77"/>
      <c r="I510" s="77"/>
    </row>
    <row r="511" spans="1:9" x14ac:dyDescent="0.45">
      <c r="A511" s="77" t="s">
        <v>35</v>
      </c>
      <c r="B511" s="77"/>
      <c r="C511" s="77"/>
      <c r="D511" s="77"/>
      <c r="E511" s="77"/>
      <c r="F511" s="77" t="s">
        <v>1420</v>
      </c>
      <c r="G511" s="77"/>
      <c r="H511" s="77"/>
      <c r="I511" s="77"/>
    </row>
    <row r="512" spans="1:9" x14ac:dyDescent="0.45">
      <c r="A512" s="77" t="s">
        <v>36</v>
      </c>
      <c r="B512" s="77"/>
      <c r="C512" s="77"/>
      <c r="D512" s="77"/>
      <c r="E512" s="77"/>
      <c r="F512" s="77" t="s">
        <v>1421</v>
      </c>
      <c r="G512" s="77"/>
      <c r="H512" s="77"/>
      <c r="I512" s="77"/>
    </row>
    <row r="513" spans="1:9" x14ac:dyDescent="0.45">
      <c r="A513" s="77" t="s">
        <v>88</v>
      </c>
      <c r="B513" s="77"/>
      <c r="C513" s="77"/>
      <c r="D513" s="77"/>
      <c r="E513" s="77"/>
      <c r="F513" s="77" t="s">
        <v>1422</v>
      </c>
      <c r="G513" s="77"/>
      <c r="H513" s="77"/>
      <c r="I513" s="77"/>
    </row>
    <row r="514" spans="1:9" x14ac:dyDescent="0.45">
      <c r="A514" s="79" t="s">
        <v>1412</v>
      </c>
      <c r="B514" s="77"/>
      <c r="C514" s="77"/>
      <c r="D514" s="77"/>
      <c r="E514" s="77"/>
      <c r="F514" s="77"/>
      <c r="G514" s="77"/>
      <c r="H514" s="77"/>
      <c r="I514" s="77"/>
    </row>
    <row r="515" spans="1:9" x14ac:dyDescent="0.45">
      <c r="A515" s="79" t="s">
        <v>1413</v>
      </c>
      <c r="B515" s="77"/>
      <c r="C515" s="77"/>
      <c r="D515" s="77"/>
      <c r="E515" s="77"/>
      <c r="F515" s="77" t="s">
        <v>73</v>
      </c>
      <c r="G515" s="77"/>
      <c r="H515" s="77"/>
      <c r="I515" s="77"/>
    </row>
    <row r="516" spans="1:9" x14ac:dyDescent="0.45">
      <c r="A516" s="77" t="s">
        <v>1414</v>
      </c>
      <c r="B516" s="77"/>
      <c r="C516" s="77"/>
      <c r="D516" s="77"/>
      <c r="E516" s="77"/>
      <c r="F516" s="77" t="s">
        <v>74</v>
      </c>
      <c r="G516" s="77"/>
      <c r="H516" s="77"/>
      <c r="I516" s="77"/>
    </row>
    <row r="517" spans="1:9" x14ac:dyDescent="0.45">
      <c r="A517" s="77" t="s">
        <v>1415</v>
      </c>
      <c r="B517" s="77"/>
      <c r="C517" s="77"/>
      <c r="D517" s="77"/>
      <c r="E517" s="77"/>
      <c r="F517" s="77" t="s">
        <v>1423</v>
      </c>
      <c r="G517" s="77"/>
      <c r="H517" s="77"/>
      <c r="I517" s="77"/>
    </row>
    <row r="518" spans="1:9" x14ac:dyDescent="0.45">
      <c r="A518" s="77" t="s">
        <v>1416</v>
      </c>
      <c r="B518" s="77"/>
      <c r="C518" s="77"/>
      <c r="D518" s="77"/>
      <c r="E518" s="77"/>
      <c r="F518" s="77" t="s">
        <v>564</v>
      </c>
      <c r="G518" s="77"/>
      <c r="H518" s="77"/>
      <c r="I518" s="77"/>
    </row>
    <row r="519" spans="1:9" x14ac:dyDescent="0.45">
      <c r="A519" s="77" t="s">
        <v>1417</v>
      </c>
      <c r="B519" s="77"/>
      <c r="C519" s="77"/>
      <c r="D519" s="77"/>
      <c r="E519" s="77"/>
      <c r="F519" s="77"/>
      <c r="G519" s="77"/>
      <c r="H519" s="77"/>
      <c r="I519" s="77"/>
    </row>
    <row r="520" spans="1:9" x14ac:dyDescent="0.45">
      <c r="A520" s="77" t="s">
        <v>1418</v>
      </c>
      <c r="B520" s="77"/>
      <c r="C520" s="77"/>
      <c r="D520" s="77"/>
      <c r="E520" s="77"/>
      <c r="F520" s="77"/>
      <c r="G520" s="77"/>
      <c r="H520" s="77"/>
      <c r="I520" s="77"/>
    </row>
    <row r="521" spans="1:9" x14ac:dyDescent="0.45">
      <c r="A521" s="77"/>
      <c r="B521" s="77"/>
      <c r="C521" s="77"/>
      <c r="D521" s="77"/>
      <c r="E521" s="77"/>
      <c r="F521" s="77"/>
      <c r="G521" s="77"/>
      <c r="H521" s="77"/>
      <c r="I521" s="77"/>
    </row>
    <row r="522" spans="1:9" x14ac:dyDescent="0.45">
      <c r="A522" s="77" t="s">
        <v>39</v>
      </c>
      <c r="B522" s="77"/>
      <c r="C522" s="77"/>
      <c r="D522" s="77"/>
      <c r="E522" s="77"/>
      <c r="F522" s="77"/>
      <c r="G522" s="77"/>
      <c r="H522" s="77"/>
      <c r="I522" s="77"/>
    </row>
    <row r="523" spans="1:9" x14ac:dyDescent="0.45">
      <c r="A523" s="77" t="s">
        <v>40</v>
      </c>
      <c r="B523" s="77"/>
      <c r="C523" s="77"/>
      <c r="D523" s="77"/>
      <c r="E523" s="77"/>
      <c r="F523" s="77"/>
      <c r="G523" s="77"/>
      <c r="H523" s="77"/>
      <c r="I523" s="77"/>
    </row>
    <row r="524" spans="1:9" x14ac:dyDescent="0.45">
      <c r="A524" s="77" t="s">
        <v>38</v>
      </c>
      <c r="B524" s="77"/>
      <c r="C524" s="77"/>
      <c r="D524" s="77"/>
      <c r="E524" s="77"/>
      <c r="F524" s="77"/>
      <c r="G524" s="77"/>
      <c r="H524" s="77"/>
      <c r="I524" s="77"/>
    </row>
    <row r="525" spans="1:9" x14ac:dyDescent="0.45">
      <c r="A525" s="77" t="s">
        <v>540</v>
      </c>
      <c r="B525" s="77"/>
      <c r="C525" s="77"/>
      <c r="D525" s="77"/>
      <c r="E525" s="77"/>
      <c r="F525" s="77"/>
      <c r="G525" s="77"/>
      <c r="H525" s="77"/>
      <c r="I525" s="77"/>
    </row>
    <row r="527" spans="1:9" x14ac:dyDescent="0.45">
      <c r="A527" s="78" t="s">
        <v>1210</v>
      </c>
      <c r="B527" s="78"/>
      <c r="C527" s="78"/>
      <c r="D527" s="78"/>
      <c r="E527" s="78"/>
      <c r="F527" s="78" t="s">
        <v>1419</v>
      </c>
      <c r="G527" s="78"/>
      <c r="H527" s="78"/>
      <c r="I527" s="78"/>
    </row>
    <row r="528" spans="1:9" x14ac:dyDescent="0.45">
      <c r="A528" s="78" t="s">
        <v>1424</v>
      </c>
      <c r="B528" s="78"/>
      <c r="C528" s="78"/>
      <c r="D528" s="78"/>
      <c r="E528" s="78"/>
      <c r="F528" s="78" t="s">
        <v>72</v>
      </c>
      <c r="G528" s="78"/>
      <c r="H528" s="78"/>
      <c r="I528" s="78"/>
    </row>
    <row r="529" spans="1:9" x14ac:dyDescent="0.45">
      <c r="A529" s="78" t="s">
        <v>35</v>
      </c>
      <c r="B529" s="78"/>
      <c r="C529" s="78"/>
      <c r="D529" s="78"/>
      <c r="E529" s="78"/>
      <c r="F529" s="78" t="s">
        <v>1432</v>
      </c>
      <c r="G529" s="78"/>
      <c r="H529" s="78"/>
      <c r="I529" s="78"/>
    </row>
    <row r="530" spans="1:9" x14ac:dyDescent="0.45">
      <c r="A530" s="78" t="s">
        <v>36</v>
      </c>
      <c r="B530" s="78"/>
      <c r="C530" s="78"/>
      <c r="D530" s="78"/>
      <c r="E530" s="78"/>
      <c r="F530" s="78" t="s">
        <v>1261</v>
      </c>
      <c r="G530" s="78"/>
      <c r="H530" s="78"/>
      <c r="I530" s="78"/>
    </row>
    <row r="531" spans="1:9" x14ac:dyDescent="0.45">
      <c r="A531" s="78" t="s">
        <v>75</v>
      </c>
      <c r="B531" s="78"/>
      <c r="C531" s="78"/>
      <c r="D531" s="78"/>
      <c r="E531" s="78"/>
      <c r="F531" s="78" t="s">
        <v>1394</v>
      </c>
      <c r="G531" s="78"/>
      <c r="H531" s="78"/>
      <c r="I531" s="78"/>
    </row>
    <row r="532" spans="1:9" x14ac:dyDescent="0.45">
      <c r="A532" s="80" t="s">
        <v>1425</v>
      </c>
      <c r="B532" s="78"/>
      <c r="C532" s="78"/>
      <c r="D532" s="78"/>
      <c r="E532" s="78"/>
      <c r="F532" s="78"/>
      <c r="G532" s="78"/>
      <c r="H532" s="78"/>
      <c r="I532" s="78"/>
    </row>
    <row r="533" spans="1:9" x14ac:dyDescent="0.45">
      <c r="A533" s="80" t="s">
        <v>1426</v>
      </c>
      <c r="B533" s="78"/>
      <c r="C533" s="78"/>
      <c r="D533" s="78"/>
      <c r="E533" s="78"/>
      <c r="F533" s="78" t="s">
        <v>73</v>
      </c>
      <c r="G533" s="78"/>
      <c r="H533" s="78"/>
      <c r="I533" s="78"/>
    </row>
    <row r="534" spans="1:9" x14ac:dyDescent="0.45">
      <c r="A534" s="78" t="s">
        <v>1427</v>
      </c>
      <c r="B534" s="78"/>
      <c r="C534" s="78"/>
      <c r="D534" s="78"/>
      <c r="E534" s="78"/>
      <c r="F534" s="78" t="s">
        <v>1221</v>
      </c>
      <c r="G534" s="78"/>
      <c r="H534" s="78"/>
      <c r="I534" s="78"/>
    </row>
    <row r="535" spans="1:9" x14ac:dyDescent="0.45">
      <c r="A535" s="78" t="s">
        <v>1428</v>
      </c>
      <c r="B535" s="78"/>
      <c r="C535" s="78"/>
      <c r="D535" s="78"/>
      <c r="E535" s="78"/>
      <c r="F535" s="78" t="s">
        <v>1433</v>
      </c>
      <c r="G535" s="78"/>
      <c r="H535" s="78"/>
      <c r="I535" s="78"/>
    </row>
    <row r="536" spans="1:9" x14ac:dyDescent="0.45">
      <c r="A536" s="78" t="s">
        <v>1429</v>
      </c>
      <c r="B536" s="78"/>
      <c r="C536" s="78"/>
      <c r="D536" s="78"/>
      <c r="E536" s="78"/>
      <c r="F536" s="78" t="s">
        <v>564</v>
      </c>
      <c r="G536" s="78"/>
      <c r="H536" s="78"/>
      <c r="I536" s="78"/>
    </row>
    <row r="537" spans="1:9" x14ac:dyDescent="0.45">
      <c r="A537" s="78" t="s">
        <v>1430</v>
      </c>
      <c r="B537" s="78"/>
      <c r="C537" s="78"/>
      <c r="D537" s="78"/>
      <c r="E537" s="78"/>
      <c r="F537" s="78"/>
      <c r="G537" s="78"/>
      <c r="H537" s="78"/>
      <c r="I537" s="78"/>
    </row>
    <row r="538" spans="1:9" x14ac:dyDescent="0.45">
      <c r="A538" s="78" t="s">
        <v>1431</v>
      </c>
      <c r="B538" s="78"/>
      <c r="C538" s="78"/>
      <c r="D538" s="78"/>
      <c r="E538" s="78"/>
      <c r="F538" s="78"/>
      <c r="G538" s="78"/>
      <c r="H538" s="78"/>
      <c r="I538" s="78"/>
    </row>
    <row r="539" spans="1:9" x14ac:dyDescent="0.45">
      <c r="A539" s="78"/>
      <c r="B539" s="78"/>
      <c r="C539" s="78"/>
      <c r="D539" s="78"/>
      <c r="E539" s="78"/>
      <c r="F539" s="78"/>
      <c r="G539" s="78"/>
      <c r="H539" s="78"/>
      <c r="I539" s="78"/>
    </row>
    <row r="540" spans="1:9" x14ac:dyDescent="0.45">
      <c r="A540" s="78" t="s">
        <v>39</v>
      </c>
      <c r="B540" s="78"/>
      <c r="C540" s="78"/>
      <c r="D540" s="78"/>
      <c r="E540" s="78"/>
      <c r="F540" s="78"/>
      <c r="G540" s="78"/>
      <c r="H540" s="78"/>
      <c r="I540" s="78"/>
    </row>
    <row r="541" spans="1:9" x14ac:dyDescent="0.45">
      <c r="A541" s="78" t="s">
        <v>40</v>
      </c>
      <c r="B541" s="78"/>
      <c r="C541" s="78"/>
      <c r="D541" s="78"/>
      <c r="E541" s="78"/>
      <c r="F541" s="78"/>
      <c r="G541" s="78"/>
      <c r="H541" s="78"/>
      <c r="I541" s="78"/>
    </row>
    <row r="542" spans="1:9" x14ac:dyDescent="0.45">
      <c r="A542" s="78" t="s">
        <v>38</v>
      </c>
      <c r="B542" s="78"/>
      <c r="C542" s="78"/>
      <c r="D542" s="78"/>
      <c r="E542" s="78"/>
      <c r="F542" s="78"/>
      <c r="G542" s="78"/>
      <c r="H542" s="78"/>
      <c r="I542" s="78"/>
    </row>
    <row r="543" spans="1:9" x14ac:dyDescent="0.45">
      <c r="A543" s="78" t="s">
        <v>540</v>
      </c>
      <c r="B543" s="78"/>
      <c r="C543" s="78"/>
      <c r="D543" s="78"/>
      <c r="E543" s="78"/>
      <c r="F543" s="78"/>
      <c r="G543" s="78"/>
      <c r="H543" s="78"/>
      <c r="I543" s="78"/>
    </row>
  </sheetData>
  <phoneticPr fontId="1"/>
  <conditionalFormatting sqref="A5:M59">
    <cfRule type="expression" dxfId="1" priority="1">
      <formula>$B5="返り"</formula>
    </cfRule>
    <cfRule type="expression" dxfId="0" priority="2">
      <formula>$B5="行き"</formula>
    </cfRule>
  </conditionalFormatting>
  <hyperlinks>
    <hyperlink ref="A1" location="通信要件一覧!A1" display="※「通信要件一覧」シートに戻る" xr:uid="{C61E1E0A-3AF0-48E7-8DDA-4640DC1BDF5C}"/>
  </hyperlinks>
  <pageMargins left="0.7" right="0.7" top="0.75" bottom="0.75" header="0.3" footer="0.3"/>
  <pageSetup paperSize="9" scale="10" orientation="portrait" r:id="rId1"/>
  <rowBreaks count="1" manualBreakCount="1">
    <brk id="210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通信要件一覧</vt:lpstr>
      <vt:lpstr>DHCP</vt:lpstr>
      <vt:lpstr>NTP</vt:lpstr>
      <vt:lpstr>rsyslog</vt:lpstr>
      <vt:lpstr>DNS</vt:lpstr>
      <vt:lpstr>LB</vt:lpstr>
      <vt:lpstr>AP</vt:lpstr>
      <vt:lpstr>DB</vt:lpstr>
      <vt:lpstr>ICMP</vt:lpstr>
      <vt:lpstr>AP!Print_Area</vt:lpstr>
      <vt:lpstr>DB!Print_Area</vt:lpstr>
      <vt:lpstr>DHCP!Print_Area</vt:lpstr>
      <vt:lpstr>DNS!Print_Area</vt:lpstr>
      <vt:lpstr>ICMP!Print_Area</vt:lpstr>
      <vt:lpstr>LB!Print_Area</vt:lpstr>
      <vt:lpstr>NTP!Print_Area</vt:lpstr>
      <vt:lpstr>rsyslog!Print_Area</vt:lpstr>
      <vt:lpstr>通信要件一覧!Print_Area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2026-02-21T11:40:00Z</dcterms:created>
  <dcterms:modified xsi:type="dcterms:W3CDTF">2026-04-07T02:05:24Z</dcterms:modified>
</cp:coreProperties>
</file>